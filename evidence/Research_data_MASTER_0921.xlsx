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tents" sheetId="1" state="visible" r:id="rId1"/>
    <sheet name="RV64 SoC and FPGA" sheetId="2" state="visible" r:id="rId2"/>
    <sheet name="RV32 SoC and FPGA" sheetId="3" state="visible" r:id="rId3"/>
    <sheet name="Embench FPGA RV64" sheetId="4" state="visible" r:id="rId4"/>
    <sheet name="Embench FPGA RV32" sheetId="5" state="visible" r:id="rId5"/>
    <sheet name="Embench FPGA vs simulation" sheetId="6" state="visible" r:id="rId6"/>
    <sheet name="CPI and stalls" sheetId="7" state="visible" r:id="rId7"/>
    <sheet name="Embench simulation" sheetId="8" state="visible" r:id="rId8"/>
    <sheet name="Core comparison" sheetId="9" state="visible" r:id="rId9"/>
    <sheet name="SAIF detail" sheetId="10" state="visible" r:id="rId10"/>
    <sheet name="Normalized metrics" sheetId="11" state="visible" r:id="rId11"/>
    <sheet name="Clocking resources" sheetId="12" state="visible" r:id="rId12"/>
    <sheet name="Verification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8">
    <numFmt numFmtId="164" formatCode="\+0.0%;\-0.0%"/>
    <numFmt numFmtId="165" formatCode="0.0%"/>
    <numFmt numFmtId="166" formatCode="0.0000"/>
    <numFmt numFmtId="167" formatCode="0.000###"/>
    <numFmt numFmtId="168" formatCode="0.000"/>
    <numFmt numFmtId="169" formatCode="0.0"/>
    <numFmt numFmtId="170" formatCode="0.00000"/>
    <numFmt numFmtId="171" formatCode="0.000000"/>
  </numFmts>
  <fonts count="13">
    <font>
      <name val="Calibri"/>
      <family val="2"/>
      <color theme="1"/>
      <sz val="11"/>
      <scheme val="minor"/>
    </font>
    <font>
      <name val="NanumGothic"/>
      <charset val="1"/>
      <family val="2"/>
      <color rgb="FF000000"/>
      <sz val="11"/>
    </font>
    <font>
      <name val="맑은 고딕"/>
      <charset val="1"/>
      <family val="0"/>
      <color rgb="FF000000"/>
      <sz val="11"/>
    </font>
    <font>
      <name val="NanumGothic"/>
      <charset val="1"/>
      <family val="2"/>
      <color rgb="FF006100"/>
      <sz val="11"/>
    </font>
    <font>
      <name val="NanumGothic"/>
      <charset val="1"/>
      <family val="2"/>
      <b val="1"/>
      <sz val="11"/>
    </font>
    <font>
      <name val="NanumGothic"/>
      <charset val="1"/>
      <family val="2"/>
      <sz val="11"/>
    </font>
    <font>
      <name val="NanumGothic"/>
      <charset val="1"/>
      <family val="2"/>
      <b val="1"/>
      <color rgb="FF9C0006"/>
      <sz val="11"/>
    </font>
    <font>
      <name val="NanumGothic"/>
      <charset val="1"/>
      <family val="2"/>
      <b val="1"/>
      <color rgb="FF1F4E79"/>
      <sz val="11"/>
    </font>
    <font>
      <name val="NanumGothic"/>
      <charset val="1"/>
      <family val="2"/>
      <color rgb="FF9C6500"/>
      <sz val="11"/>
    </font>
    <font>
      <name val="NanumGothic"/>
      <charset val="1"/>
      <family val="2"/>
      <i val="1"/>
      <color rgb="FF9C6500"/>
      <sz val="11"/>
    </font>
    <font>
      <name val="Cambria"/>
      <charset val="1"/>
      <family val="0"/>
      <sz val="11"/>
    </font>
    <font>
      <name val="NanumGothic"/>
      <b val="1"/>
      <sz val="11"/>
    </font>
    <font>
      <name val="NanumGothic"/>
      <sz val="11"/>
    </font>
  </fonts>
  <fills count="15">
    <fill>
      <patternFill/>
    </fill>
    <fill>
      <patternFill patternType="gray125"/>
    </fill>
    <fill>
      <patternFill patternType="solid">
        <fgColor rgb="FFBFBFBF"/>
        <bgColor rgb="FF99CCFF"/>
      </patternFill>
    </fill>
    <fill>
      <patternFill patternType="solid">
        <fgColor rgb="FFCDF2E4"/>
        <bgColor rgb="FFDDEBF7"/>
      </patternFill>
    </fill>
    <fill>
      <patternFill patternType="solid">
        <fgColor rgb="FFEEEEEE"/>
        <bgColor rgb="FFF2F2F2"/>
      </patternFill>
    </fill>
    <fill>
      <patternFill patternType="solid">
        <fgColor rgb="FFF2F2F2"/>
        <bgColor rgb="FFEEEEEE"/>
      </patternFill>
    </fill>
    <fill>
      <patternFill patternType="solid">
        <fgColor rgb="FFDFE6F7"/>
        <bgColor rgb="FFDEE6EF"/>
      </patternFill>
    </fill>
    <fill>
      <patternFill patternType="solid">
        <fgColor rgb="FFDEE6EF"/>
        <bgColor rgb="FFDFE6F7"/>
      </patternFill>
    </fill>
    <fill>
      <patternFill patternType="solid">
        <fgColor rgb="FFFFF2CC"/>
        <bgColor rgb="FFF2F2F2"/>
      </patternFill>
    </fill>
    <fill>
      <patternFill patternType="solid">
        <fgColor rgb="FFFFC7CE"/>
        <bgColor rgb="FFDEE6EF"/>
      </patternFill>
    </fill>
    <fill>
      <patternFill patternType="solid">
        <fgColor rgb="FFDDEBF7"/>
        <bgColor rgb="FFDFE6F7"/>
      </patternFill>
    </fill>
    <fill>
      <patternFill patternType="solid">
        <fgColor rgb="FFBFBFBF"/>
      </patternFill>
    </fill>
    <fill>
      <patternFill patternType="solid">
        <fgColor rgb="FFEEEEEE"/>
      </patternFill>
    </fill>
    <fill>
      <patternFill patternType="solid">
        <fgColor rgb="FFCDF2E4"/>
      </patternFill>
    </fill>
    <fill>
      <patternFill patternType="solid">
        <fgColor rgb="FFFFEB9C"/>
      </patternFill>
    </fill>
  </fills>
  <borders count="46">
    <border>
      <left/>
      <right/>
      <top/>
      <bottom/>
      <diagonal/>
    </border>
    <border>
      <left style="medium"/>
      <right style="thin"/>
      <top style="medium"/>
      <bottom style="double"/>
      <diagonal/>
    </border>
    <border>
      <left style="thin"/>
      <right style="thin"/>
      <top style="medium"/>
      <bottom style="double"/>
      <diagonal/>
    </border>
    <border>
      <left/>
      <right/>
      <top style="medium"/>
      <bottom style="double"/>
      <diagonal/>
    </border>
    <border>
      <left/>
      <right style="thin"/>
      <top style="medium"/>
      <bottom style="double"/>
      <diagonal/>
    </border>
    <border>
      <left style="thin"/>
      <right style="double"/>
      <top style="medium"/>
      <bottom style="double"/>
      <diagonal/>
    </border>
    <border>
      <left style="double"/>
      <right style="thin"/>
      <top style="medium"/>
      <bottom style="double"/>
      <diagonal/>
    </border>
    <border>
      <left style="thin"/>
      <right style="medium"/>
      <top style="medium"/>
      <bottom style="double"/>
      <diagonal/>
    </border>
    <border>
      <left style="medium"/>
      <right style="thin"/>
      <top/>
      <bottom style="thin"/>
      <diagonal/>
    </border>
    <border>
      <left style="thin"/>
      <right style="thin"/>
      <top/>
      <bottom style="thin"/>
      <diagonal/>
    </border>
    <border>
      <left/>
      <right/>
      <top/>
      <bottom style="thin"/>
      <diagonal/>
    </border>
    <border>
      <left/>
      <right style="thin"/>
      <top/>
      <bottom style="thin"/>
      <diagonal/>
    </border>
    <border>
      <left style="thin"/>
      <right style="double"/>
      <top/>
      <bottom style="thin"/>
      <diagonal/>
    </border>
    <border>
      <left style="double"/>
      <right style="thin"/>
      <top/>
      <bottom style="thin"/>
      <diagonal/>
    </border>
    <border>
      <left style="thin"/>
      <right style="medium"/>
      <top/>
      <bottom style="thin"/>
      <diagonal/>
    </border>
    <border>
      <left style="medium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double"/>
      <right style="thin"/>
      <top style="thin"/>
      <bottom style="thin"/>
      <diagonal/>
    </border>
    <border>
      <left style="thin"/>
      <right style="medium"/>
      <top style="thin"/>
      <bottom style="thin"/>
      <diagonal/>
    </border>
    <border>
      <left style="thin"/>
      <right style="thin"/>
      <top style="thin"/>
      <bottom style="medium"/>
      <diagonal/>
    </border>
    <border>
      <left/>
      <right/>
      <top style="thin"/>
      <bottom style="medium"/>
      <diagonal/>
    </border>
    <border>
      <left/>
      <right style="thin"/>
      <top style="thin"/>
      <bottom style="medium"/>
      <diagonal/>
    </border>
    <border>
      <left style="thin"/>
      <right style="thin"/>
      <top/>
      <bottom style="medium"/>
      <diagonal/>
    </border>
    <border>
      <left style="medium"/>
      <right style="thin"/>
      <top style="thin"/>
      <bottom style="medium"/>
      <diagonal/>
    </border>
    <border>
      <left style="thin"/>
      <right style="double"/>
      <top/>
      <bottom style="medium"/>
      <diagonal/>
    </border>
    <border>
      <left style="double"/>
      <right style="thin"/>
      <top style="thin"/>
      <bottom style="medium"/>
      <diagonal/>
    </border>
    <border>
      <left style="thin"/>
      <right style="medium"/>
      <top style="thin"/>
      <bottom style="medium"/>
      <diagonal/>
    </border>
    <border>
      <left style="thin"/>
      <right style="double"/>
      <top style="thin"/>
      <bottom style="thin"/>
      <diagonal/>
    </border>
    <border>
      <left style="thin"/>
      <right style="double"/>
      <top style="thin"/>
      <bottom style="medium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medium"/>
      <bottom/>
      <diagonal/>
    </border>
    <border>
      <left/>
      <right style="thin"/>
      <top style="medium"/>
      <bottom/>
      <diagonal/>
    </border>
    <border>
      <left/>
      <right style="thin"/>
      <top/>
      <bottom/>
      <diagonal/>
    </border>
    <border>
      <left style="thin">
        <color rgb="FF2A6099"/>
      </left>
      <right style="thin">
        <color rgb="FF2A6099"/>
      </right>
      <top style="thin">
        <color rgb="FF2A6099"/>
      </top>
      <bottom style="thin">
        <color rgb="FF2A6099"/>
      </bottom>
      <diagonal/>
    </border>
    <border>
      <left/>
      <right/>
      <top style="thin">
        <color rgb="FF2A6099"/>
      </top>
      <bottom style="thin">
        <color rgb="FF2A6099"/>
      </bottom>
      <diagonal/>
    </border>
    <border>
      <left/>
      <right style="thin">
        <color rgb="FF2A6099"/>
      </right>
      <top style="thin">
        <color rgb="FF2A6099"/>
      </top>
      <bottom style="thin">
        <color rgb="FF2A6099"/>
      </bottom>
      <diagonal/>
    </border>
    <border>
      <left/>
      <right/>
      <top style="thin">
        <color rgb="FF2A6099"/>
      </top>
      <bottom/>
      <diagonal/>
    </border>
    <border>
      <left/>
      <right style="thin">
        <color rgb="FF2A6099"/>
      </right>
      <top style="thin">
        <color rgb="FF2A6099"/>
      </top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</border>
    <border>
      <left/>
      <right/>
      <top style="thin">
        <color rgb="FFD0D0D0"/>
      </top>
      <bottom style="thin">
        <color rgb="FFD0D0D0"/>
      </bottom>
      <diagonal/>
    </border>
    <border>
      <left/>
      <right style="thin">
        <color rgb="FFD0D0D0"/>
      </right>
      <top style="thin">
        <color rgb="FFD0D0D0"/>
      </top>
      <bottom style="thin">
        <color rgb="FFD0D0D0"/>
      </bottom>
      <diagonal/>
    </border>
    <border>
      <left/>
      <right/>
      <top style="thin">
        <color rgb="FFD0D0D0"/>
      </top>
      <bottom/>
      <diagonal/>
    </border>
    <border>
      <left/>
      <right style="thin">
        <color rgb="FFD0D0D0"/>
      </right>
      <top style="thin">
        <color rgb="FFD0D0D0"/>
      </top>
      <bottom/>
      <diagonal/>
    </border>
  </borders>
  <cellStyleXfs count="1">
    <xf numFmtId="0" fontId="0" fillId="0" borderId="0"/>
  </cellStyleXfs>
  <cellXfs count="114">
    <xf numFmtId="0" fontId="0" fillId="0" borderId="0" pivotButton="0" quotePrefix="0" xfId="0"/>
    <xf numFmtId="0" fontId="11" fillId="0" borderId="0" applyAlignment="1" pivotButton="0" quotePrefix="0" xfId="0">
      <alignment horizontal="left" vertical="center"/>
    </xf>
    <xf numFmtId="0" fontId="12" fillId="0" borderId="0" applyAlignment="1" pivotButton="0" quotePrefix="0" xfId="0">
      <alignment horizontal="left" vertical="center"/>
    </xf>
    <xf numFmtId="0" fontId="11" fillId="11" borderId="0" applyAlignment="1" pivotButton="0" quotePrefix="0" xfId="0">
      <alignment horizontal="left" vertical="center"/>
    </xf>
    <xf numFmtId="0" fontId="12" fillId="0" borderId="0" applyAlignment="1" pivotButton="0" quotePrefix="0" xfId="0">
      <alignment horizontal="left" vertical="center" wrapText="1"/>
    </xf>
    <xf numFmtId="0" fontId="1" fillId="2" borderId="1" applyAlignment="1" pivotButton="0" quotePrefix="0" xfId="0">
      <alignment horizontal="general" vertical="center"/>
    </xf>
    <xf numFmtId="0" fontId="1" fillId="2" borderId="2" applyAlignment="1" pivotButton="0" quotePrefix="0" xfId="0">
      <alignment horizontal="center" vertical="center"/>
    </xf>
    <xf numFmtId="0" fontId="1" fillId="2" borderId="3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4" pivotButton="0" quotePrefix="0" xfId="0"/>
    <xf numFmtId="0" fontId="1" fillId="2" borderId="5" applyAlignment="1" pivotButton="0" quotePrefix="0" xfId="0">
      <alignment horizontal="center" vertical="center"/>
    </xf>
    <xf numFmtId="0" fontId="1" fillId="2" borderId="6" applyAlignment="1" pivotButton="0" quotePrefix="0" xfId="0">
      <alignment horizontal="center" vertical="center"/>
    </xf>
    <xf numFmtId="0" fontId="1" fillId="2" borderId="7" applyAlignment="1" pivotButton="0" quotePrefix="0" xfId="0">
      <alignment horizontal="center" vertical="center"/>
    </xf>
    <xf numFmtId="0" fontId="1" fillId="2" borderId="4" applyAlignment="1" pivotButton="0" quotePrefix="0" xfId="0">
      <alignment horizontal="center" vertical="center"/>
    </xf>
    <xf numFmtId="0" fontId="1" fillId="0" borderId="0" applyAlignment="1" pivotButton="0" quotePrefix="0" xfId="0">
      <alignment horizontal="general" vertical="center"/>
    </xf>
    <xf numFmtId="0" fontId="1" fillId="3" borderId="8" applyAlignment="1" pivotButton="0" quotePrefix="0" xfId="0">
      <alignment horizontal="general" vertical="center"/>
    </xf>
    <xf numFmtId="0" fontId="1" fillId="4" borderId="9" applyAlignment="1" pivotButton="0" quotePrefix="0" xfId="0">
      <alignment horizontal="center" vertical="center"/>
    </xf>
    <xf numFmtId="0" fontId="0" fillId="0" borderId="10" pivotButton="0" quotePrefix="0" xfId="0"/>
    <xf numFmtId="0" fontId="0" fillId="0" borderId="11" pivotButton="0" quotePrefix="0" xfId="0"/>
    <xf numFmtId="0" fontId="1" fillId="5" borderId="9" applyAlignment="1" pivotButton="0" quotePrefix="0" xfId="0">
      <alignment horizontal="center" vertical="center"/>
    </xf>
    <xf numFmtId="0" fontId="1" fillId="5" borderId="12" applyAlignment="1" pivotButton="0" quotePrefix="0" xfId="0">
      <alignment horizontal="center" vertical="center"/>
    </xf>
    <xf numFmtId="0" fontId="1" fillId="5" borderId="13" applyAlignment="1" pivotButton="0" quotePrefix="0" xfId="0">
      <alignment horizontal="center" vertical="center"/>
    </xf>
    <xf numFmtId="0" fontId="1" fillId="5" borderId="14" applyAlignment="1" pivotButton="0" quotePrefix="0" xfId="0">
      <alignment horizontal="center" vertical="center"/>
    </xf>
    <xf numFmtId="0" fontId="1" fillId="5" borderId="11" applyAlignment="1" pivotButton="0" quotePrefix="0" xfId="0">
      <alignment horizontal="center" vertical="center"/>
    </xf>
    <xf numFmtId="0" fontId="3" fillId="0" borderId="0" applyAlignment="1" pivotButton="0" quotePrefix="0" xfId="0">
      <alignment horizontal="general" vertical="center"/>
    </xf>
    <xf numFmtId="0" fontId="1" fillId="3" borderId="15" applyAlignment="1" pivotButton="0" quotePrefix="0" xfId="0">
      <alignment horizontal="general" vertical="center"/>
    </xf>
    <xf numFmtId="0" fontId="1" fillId="4" borderId="16" applyAlignment="1" pivotButton="0" quotePrefix="0" xfId="0">
      <alignment horizontal="center" vertical="center"/>
    </xf>
    <xf numFmtId="0" fontId="0" fillId="0" borderId="17" pivotButton="0" quotePrefix="0" xfId="0"/>
    <xf numFmtId="0" fontId="0" fillId="0" borderId="18" pivotButton="0" quotePrefix="0" xfId="0"/>
    <xf numFmtId="0" fontId="1" fillId="5" borderId="16" applyAlignment="1" pivotButton="0" quotePrefix="0" xfId="0">
      <alignment horizontal="center" vertical="center"/>
    </xf>
    <xf numFmtId="0" fontId="1" fillId="5" borderId="19" applyAlignment="1" pivotButton="0" quotePrefix="0" xfId="0">
      <alignment horizontal="center" vertical="center"/>
    </xf>
    <xf numFmtId="0" fontId="1" fillId="5" borderId="20" applyAlignment="1" pivotButton="0" quotePrefix="0" xfId="0">
      <alignment horizontal="center" vertical="center"/>
    </xf>
    <xf numFmtId="0" fontId="1" fillId="5" borderId="18" applyAlignment="1" pivotButton="0" quotePrefix="0" xfId="0">
      <alignment horizontal="center" vertical="center"/>
    </xf>
    <xf numFmtId="0" fontId="1" fillId="4" borderId="21" applyAlignment="1" pivotButton="0" quotePrefix="0" xfId="0">
      <alignment horizontal="center" vertical="center"/>
    </xf>
    <xf numFmtId="0" fontId="0" fillId="0" borderId="22" pivotButton="0" quotePrefix="0" xfId="0"/>
    <xf numFmtId="0" fontId="0" fillId="0" borderId="23" pivotButton="0" quotePrefix="0" xfId="0"/>
    <xf numFmtId="0" fontId="1" fillId="5" borderId="24" applyAlignment="1" pivotButton="0" quotePrefix="0" xfId="0">
      <alignment horizontal="center" vertical="center"/>
    </xf>
    <xf numFmtId="0" fontId="1" fillId="3" borderId="25" applyAlignment="1" pivotButton="0" quotePrefix="0" xfId="0">
      <alignment horizontal="general" vertical="center"/>
    </xf>
    <xf numFmtId="0" fontId="1" fillId="5" borderId="21" applyAlignment="1" pivotButton="0" quotePrefix="0" xfId="0">
      <alignment horizontal="center" vertical="center"/>
    </xf>
    <xf numFmtId="0" fontId="1" fillId="5" borderId="26" applyAlignment="1" pivotButton="0" quotePrefix="0" xfId="0">
      <alignment horizontal="center" vertical="center"/>
    </xf>
    <xf numFmtId="0" fontId="1" fillId="5" borderId="27" applyAlignment="1" pivotButton="0" quotePrefix="0" xfId="0">
      <alignment horizontal="center" vertical="center"/>
    </xf>
    <xf numFmtId="0" fontId="1" fillId="5" borderId="28" applyAlignment="1" pivotButton="0" quotePrefix="0" xfId="0">
      <alignment horizontal="center" vertical="center"/>
    </xf>
    <xf numFmtId="0" fontId="1" fillId="5" borderId="23" applyAlignment="1" pivotButton="0" quotePrefix="0" xfId="0">
      <alignment horizontal="center" vertical="center"/>
    </xf>
    <xf numFmtId="0" fontId="4" fillId="0" borderId="0" applyAlignment="1" pivotButton="0" quotePrefix="0" xfId="0">
      <alignment horizontal="general" vertical="bottom"/>
    </xf>
    <xf numFmtId="0" fontId="5" fillId="6" borderId="8" applyAlignment="1" pivotButton="0" quotePrefix="0" xfId="0">
      <alignment horizontal="general" vertical="center"/>
    </xf>
    <xf numFmtId="0" fontId="5" fillId="4" borderId="9" applyAlignment="1" pivotButton="0" quotePrefix="0" xfId="0">
      <alignment horizontal="center" vertical="center"/>
    </xf>
    <xf numFmtId="0" fontId="5" fillId="4" borderId="29" applyAlignment="1" pivotButton="0" quotePrefix="0" xfId="0">
      <alignment horizontal="center" vertical="center"/>
    </xf>
    <xf numFmtId="0" fontId="5" fillId="4" borderId="13" applyAlignment="1" pivotButton="0" quotePrefix="0" xfId="0">
      <alignment horizontal="center" vertical="center"/>
    </xf>
    <xf numFmtId="0" fontId="5" fillId="4" borderId="14" applyAlignment="1" pivotButton="0" quotePrefix="0" xfId="0">
      <alignment horizontal="center" vertical="center"/>
    </xf>
    <xf numFmtId="164" fontId="1" fillId="0" borderId="0" applyAlignment="1" pivotButton="0" quotePrefix="0" xfId="0">
      <alignment horizontal="general" vertical="bottom"/>
    </xf>
    <xf numFmtId="165" fontId="1" fillId="0" borderId="0" applyAlignment="1" pivotButton="0" quotePrefix="0" xfId="0">
      <alignment horizontal="general" vertical="bottom"/>
    </xf>
    <xf numFmtId="0" fontId="1" fillId="6" borderId="15" applyAlignment="1" pivotButton="0" quotePrefix="0" xfId="0">
      <alignment horizontal="general" vertical="center"/>
    </xf>
    <xf numFmtId="0" fontId="5" fillId="4" borderId="16" applyAlignment="1" pivotButton="0" quotePrefix="0" xfId="0">
      <alignment horizontal="center" vertical="center"/>
    </xf>
    <xf numFmtId="0" fontId="5" fillId="4" borderId="19" applyAlignment="1" pivotButton="0" quotePrefix="0" xfId="0">
      <alignment horizontal="center" vertical="center"/>
    </xf>
    <xf numFmtId="0" fontId="5" fillId="4" borderId="20" applyAlignment="1" pivotButton="0" quotePrefix="0" xfId="0">
      <alignment horizontal="center" vertical="center"/>
    </xf>
    <xf numFmtId="0" fontId="6" fillId="0" borderId="0" applyAlignment="1" pivotButton="0" quotePrefix="0" xfId="0">
      <alignment horizontal="general" vertical="center"/>
    </xf>
    <xf numFmtId="0" fontId="5" fillId="7" borderId="15" applyAlignment="1" pivotButton="0" quotePrefix="0" xfId="0">
      <alignment horizontal="general" vertical="center"/>
    </xf>
    <xf numFmtId="0" fontId="1" fillId="7" borderId="15" applyAlignment="1" pivotButton="0" quotePrefix="0" xfId="0">
      <alignment horizontal="general" vertical="center"/>
    </xf>
    <xf numFmtId="0" fontId="5" fillId="6" borderId="25" applyAlignment="1" pivotButton="0" quotePrefix="0" xfId="0">
      <alignment horizontal="general" vertical="center"/>
    </xf>
    <xf numFmtId="0" fontId="5" fillId="4" borderId="21" applyAlignment="1" pivotButton="0" quotePrefix="0" xfId="0">
      <alignment horizontal="center" vertical="center"/>
    </xf>
    <xf numFmtId="0" fontId="5" fillId="4" borderId="24" applyAlignment="1" pivotButton="0" quotePrefix="0" xfId="0">
      <alignment horizontal="center" vertical="center"/>
    </xf>
    <xf numFmtId="0" fontId="5" fillId="4" borderId="30" applyAlignment="1" pivotButton="0" quotePrefix="0" xfId="0">
      <alignment horizontal="center" vertical="center"/>
    </xf>
    <xf numFmtId="0" fontId="5" fillId="4" borderId="27" applyAlignment="1" pivotButton="0" quotePrefix="0" xfId="0">
      <alignment horizontal="center" vertical="center"/>
    </xf>
    <xf numFmtId="0" fontId="5" fillId="4" borderId="28" applyAlignment="1" pivotButton="0" quotePrefix="0" xfId="0">
      <alignment horizontal="center" vertical="center"/>
    </xf>
    <xf numFmtId="0" fontId="7" fillId="0" borderId="0" applyAlignment="1" pivotButton="0" quotePrefix="0" xfId="0">
      <alignment horizontal="general" vertical="center"/>
    </xf>
    <xf numFmtId="0" fontId="1" fillId="0" borderId="0" applyAlignment="1" pivotButton="0" quotePrefix="0" xfId="0">
      <alignment horizontal="center" vertical="center"/>
    </xf>
    <xf numFmtId="0" fontId="1" fillId="6" borderId="8" applyAlignment="1" pivotButton="0" quotePrefix="0" xfId="0">
      <alignment horizontal="general" vertical="center"/>
    </xf>
    <xf numFmtId="0" fontId="5" fillId="4" borderId="12" applyAlignment="1" pivotButton="0" quotePrefix="0" xfId="0">
      <alignment horizontal="center" vertical="center"/>
    </xf>
    <xf numFmtId="0" fontId="5" fillId="6" borderId="15" applyAlignment="1" pivotButton="0" quotePrefix="0" xfId="0">
      <alignment horizontal="general" vertical="center"/>
    </xf>
    <xf numFmtId="0" fontId="1" fillId="6" borderId="25" applyAlignment="1" pivotButton="0" quotePrefix="0" xfId="0">
      <alignment horizontal="general" vertical="center"/>
    </xf>
    <xf numFmtId="0" fontId="5" fillId="4" borderId="26" applyAlignment="1" pivotButton="0" quotePrefix="0" xfId="0">
      <alignment horizontal="center" vertical="center"/>
    </xf>
    <xf numFmtId="0" fontId="8" fillId="8" borderId="0" applyAlignment="1" pivotButton="0" quotePrefix="0" xfId="0">
      <alignment horizontal="general" vertical="bottom"/>
    </xf>
    <xf numFmtId="0" fontId="6" fillId="9" borderId="0" applyAlignment="1" pivotButton="0" quotePrefix="0" xfId="0">
      <alignment horizontal="general" vertical="bottom"/>
    </xf>
    <xf numFmtId="0" fontId="7" fillId="10" borderId="0" applyAlignment="1" pivotButton="0" quotePrefix="0" xfId="0">
      <alignment horizontal="general" vertical="bottom"/>
    </xf>
    <xf numFmtId="0" fontId="5" fillId="4" borderId="11" applyAlignment="1" pivotButton="0" quotePrefix="0" xfId="0">
      <alignment horizontal="center" vertical="center"/>
    </xf>
    <xf numFmtId="0" fontId="9" fillId="0" borderId="0" applyAlignment="1" pivotButton="0" quotePrefix="0" xfId="0">
      <alignment horizontal="general" vertical="center"/>
    </xf>
    <xf numFmtId="0" fontId="5" fillId="4" borderId="18" applyAlignment="1" pivotButton="0" quotePrefix="0" xfId="0">
      <alignment horizontal="center" vertical="center"/>
    </xf>
    <xf numFmtId="0" fontId="5" fillId="4" borderId="36" applyAlignment="1" pivotButton="0" quotePrefix="0" xfId="0">
      <alignment horizontal="center" vertical="center"/>
    </xf>
    <xf numFmtId="0" fontId="0" fillId="0" borderId="37" pivotButton="0" quotePrefix="0" xfId="0"/>
    <xf numFmtId="0" fontId="0" fillId="0" borderId="38" pivotButton="0" quotePrefix="0" xfId="0"/>
    <xf numFmtId="0" fontId="1" fillId="0" borderId="0" applyAlignment="1" pivotButton="0" quotePrefix="0" xfId="0">
      <alignment horizontal="right" vertical="center"/>
    </xf>
    <xf numFmtId="0" fontId="5" fillId="4" borderId="23" applyAlignment="1" pivotButton="0" quotePrefix="0" xfId="0">
      <alignment horizontal="center" vertical="center"/>
    </xf>
    <xf numFmtId="0" fontId="5" fillId="3" borderId="8" applyAlignment="1" pivotButton="0" quotePrefix="0" xfId="0">
      <alignment horizontal="general" vertical="center"/>
    </xf>
    <xf numFmtId="0" fontId="5" fillId="3" borderId="15" applyAlignment="1" pivotButton="0" quotePrefix="0" xfId="0">
      <alignment horizontal="general" vertical="center"/>
    </xf>
    <xf numFmtId="0" fontId="10" fillId="3" borderId="15" applyAlignment="1" pivotButton="0" quotePrefix="0" xfId="0">
      <alignment horizontal="general" vertical="center"/>
    </xf>
    <xf numFmtId="0" fontId="5" fillId="3" borderId="25" applyAlignment="1" pivotButton="0" quotePrefix="0" xfId="0">
      <alignment horizontal="general" vertical="center"/>
    </xf>
    <xf numFmtId="0" fontId="4" fillId="0" borderId="0" applyAlignment="1" pivotButton="0" quotePrefix="0" xfId="0">
      <alignment horizontal="general" vertical="center"/>
    </xf>
    <xf numFmtId="0" fontId="2" fillId="3" borderId="15" applyAlignment="1" pivotButton="0" quotePrefix="0" xfId="0">
      <alignment horizontal="general" vertical="center"/>
    </xf>
    <xf numFmtId="0" fontId="9" fillId="8" borderId="0" applyAlignment="1" pivotButton="0" quotePrefix="0" xfId="0">
      <alignment horizontal="general" vertical="center"/>
    </xf>
    <xf numFmtId="0" fontId="6" fillId="9" borderId="0" applyAlignment="1" pivotButton="0" quotePrefix="0" xfId="0">
      <alignment horizontal="general" vertical="center"/>
    </xf>
    <xf numFmtId="0" fontId="7" fillId="10" borderId="0" applyAlignment="1" pivotButton="0" quotePrefix="0" xfId="0">
      <alignment horizontal="general" vertical="center"/>
    </xf>
    <xf numFmtId="0" fontId="11" fillId="11" borderId="41" applyAlignment="1" pivotButton="0" quotePrefix="0" xfId="0">
      <alignment horizontal="left" vertical="center"/>
    </xf>
    <xf numFmtId="0" fontId="11" fillId="11" borderId="41" applyAlignment="1" pivotButton="0" quotePrefix="0" xfId="0">
      <alignment horizontal="right" vertical="center"/>
    </xf>
    <xf numFmtId="0" fontId="12" fillId="12" borderId="41" applyAlignment="1" pivotButton="0" quotePrefix="0" xfId="0">
      <alignment horizontal="left" vertical="center"/>
    </xf>
    <xf numFmtId="3" fontId="12" fillId="0" borderId="41" applyAlignment="1" pivotButton="0" quotePrefix="0" xfId="0">
      <alignment horizontal="right" vertical="center"/>
    </xf>
    <xf numFmtId="166" fontId="12" fillId="0" borderId="41" applyAlignment="1" pivotButton="0" quotePrefix="0" xfId="0">
      <alignment horizontal="right" vertical="center"/>
    </xf>
    <xf numFmtId="0" fontId="12" fillId="13" borderId="41" applyAlignment="1" pivotButton="0" quotePrefix="0" xfId="0">
      <alignment horizontal="right" vertical="center"/>
    </xf>
    <xf numFmtId="0" fontId="12" fillId="0" borderId="41" applyAlignment="1" pivotButton="0" quotePrefix="0" xfId="0">
      <alignment horizontal="right" vertical="center"/>
    </xf>
    <xf numFmtId="167" fontId="12" fillId="0" borderId="41" applyAlignment="1" pivotButton="0" quotePrefix="0" xfId="0">
      <alignment horizontal="right" vertical="center"/>
    </xf>
    <xf numFmtId="168" fontId="12" fillId="0" borderId="41" applyAlignment="1" pivotButton="0" quotePrefix="0" xfId="0">
      <alignment horizontal="right" vertical="center"/>
    </xf>
    <xf numFmtId="165" fontId="12" fillId="0" borderId="41" applyAlignment="1" pivotButton="0" quotePrefix="0" xfId="0">
      <alignment horizontal="right" vertical="center"/>
    </xf>
    <xf numFmtId="0" fontId="12" fillId="14" borderId="41" applyAlignment="1" pivotButton="0" quotePrefix="0" xfId="0">
      <alignment horizontal="left" vertical="center"/>
    </xf>
    <xf numFmtId="0" fontId="12" fillId="0" borderId="41" applyAlignment="1" pivotButton="0" quotePrefix="0" xfId="0">
      <alignment horizontal="left" vertical="center"/>
    </xf>
    <xf numFmtId="0" fontId="11" fillId="0" borderId="41" applyAlignment="1" pivotButton="0" quotePrefix="0" xfId="0">
      <alignment horizontal="left" vertical="center"/>
    </xf>
    <xf numFmtId="0" fontId="12" fillId="0" borderId="41" applyAlignment="1" pivotButton="0" quotePrefix="0" xfId="0">
      <alignment horizontal="left" vertical="center" wrapText="1"/>
    </xf>
    <xf numFmtId="0" fontId="0" fillId="0" borderId="42" pivotButton="0" quotePrefix="0" xfId="0"/>
    <xf numFmtId="0" fontId="0" fillId="0" borderId="43" pivotButton="0" quotePrefix="0" xfId="0"/>
    <xf numFmtId="10" fontId="12" fillId="0" borderId="41" applyAlignment="1" pivotButton="0" quotePrefix="0" xfId="0">
      <alignment horizontal="right" vertical="center"/>
    </xf>
    <xf numFmtId="0" fontId="12" fillId="12" borderId="41" applyAlignment="1" pivotButton="0" quotePrefix="0" xfId="0">
      <alignment horizontal="right" vertical="center"/>
    </xf>
    <xf numFmtId="3" fontId="12" fillId="13" borderId="41" applyAlignment="1" pivotButton="0" quotePrefix="0" xfId="0">
      <alignment horizontal="right" vertical="center"/>
    </xf>
    <xf numFmtId="0" fontId="12" fillId="14" borderId="41" applyAlignment="1" pivotButton="0" quotePrefix="0" xfId="0">
      <alignment horizontal="right" vertical="center"/>
    </xf>
    <xf numFmtId="169" fontId="12" fillId="0" borderId="41" applyAlignment="1" pivotButton="0" quotePrefix="0" xfId="0">
      <alignment horizontal="right" vertical="center"/>
    </xf>
    <xf numFmtId="170" fontId="12" fillId="0" borderId="41" applyAlignment="1" pivotButton="0" quotePrefix="0" xfId="0">
      <alignment horizontal="right" vertical="center"/>
    </xf>
    <xf numFmtId="171" fontId="12" fillId="0" borderId="4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C23"/>
  <sheetViews>
    <sheetView workbookViewId="0">
      <selection activeCell="A1" sqref="A1"/>
    </sheetView>
  </sheetViews>
  <sheetFormatPr baseColWidth="8" defaultRowHeight="15"/>
  <cols>
    <col width="34" customWidth="1" min="2" max="2"/>
    <col width="86" customWidth="1" min="3" max="3"/>
  </cols>
  <sheetData>
    <row r="2">
      <c r="B2" s="1" t="inlineStr">
        <is>
          <t>RV-IM100 — complete measurement set</t>
        </is>
      </c>
    </row>
    <row r="3">
      <c r="B3" s="2" t="inlineStr">
        <is>
          <t>built 2026-09-21</t>
        </is>
      </c>
    </row>
    <row r="5">
      <c r="B5" s="3" t="inlineStr">
        <is>
          <t>sheet</t>
        </is>
      </c>
      <c r="C5" s="3" t="inlineStr">
        <is>
          <t>contents</t>
        </is>
      </c>
    </row>
    <row r="6" ht="28" customHeight="1">
      <c r="B6" s="1" t="inlineStr">
        <is>
          <t>RV64 SoC and FPGA</t>
        </is>
      </c>
      <c r="C6" s="4" t="inlineStr">
        <is>
          <t>Core-only synthesis, SoC utilisation/timing/power, and CoreMark + Dhrystone FPGA throughput, RV64.</t>
        </is>
      </c>
    </row>
    <row r="7" ht="28" customHeight="1">
      <c r="B7" s="1" t="inlineStr">
        <is>
          <t>RV32 SoC and FPGA</t>
        </is>
      </c>
      <c r="C7" s="4" t="inlineStr">
        <is>
          <t>The same for RV32.</t>
        </is>
      </c>
    </row>
    <row r="8" ht="28" customHeight="1">
      <c r="B8" s="1" t="inlineStr">
        <is>
          <t>Embench FPGA RV64</t>
        </is>
      </c>
      <c r="C8" s="4" t="inlineStr">
        <is>
          <t>Five Embench benchmarks measured on hardware, with CPI, build clock and derived runtime.</t>
        </is>
      </c>
    </row>
    <row r="9" ht="28" customHeight="1">
      <c r="B9" s="1" t="inlineStr">
        <is>
          <t>Embench FPGA RV32</t>
        </is>
      </c>
      <c r="C9" s="4" t="inlineStr">
        <is>
          <t>Deliberately blank.  Those runs predate the RV32 counter-read fix; bitstreams are rebuilt and awaiting re-measurement.</t>
        </is>
      </c>
    </row>
    <row r="10" ht="28" customHeight="1">
      <c r="B10" s="1" t="inlineStr">
        <is>
          <t>Embench FPGA vs simulation</t>
        </is>
      </c>
      <c r="C10" s="4" t="inlineStr">
        <is>
          <t>Every FPGA cycle and instret against RTL simulation.  40 of 40 RV64 rows match exactly.</t>
        </is>
      </c>
    </row>
    <row r="11" ht="28" customHeight="1">
      <c r="B11" s="1" t="inlineStr">
        <is>
          <t>CPI and stalls</t>
        </is>
      </c>
      <c r="C11" s="4" t="inlineStr">
        <is>
          <t>CPI, IPC, branch frequency, misprediction rate and an 11-counter stall breakdown, both benchmarks x 16 variants.</t>
        </is>
      </c>
    </row>
    <row r="12" ht="28" customHeight="1">
      <c r="B12" s="1" t="inlineStr">
        <is>
          <t>Embench simulation</t>
        </is>
      </c>
      <c r="C12" s="4" t="inlineStr">
        <is>
          <t>Full 19 x 16 Embench matrix.  The five also run on FPGA are marked.</t>
        </is>
      </c>
    </row>
    <row r="13" ht="28" customHeight="1">
      <c r="B13" s="1" t="inlineStr">
        <is>
          <t>Core comparison</t>
        </is>
      </c>
      <c r="C13" s="4" t="inlineStr">
        <is>
          <t>PicoRV32, RVCoreP and VexRiscv against the RV-IM100 cores under identical synthesis methodology.</t>
        </is>
      </c>
    </row>
    <row r="14" ht="28" customHeight="1">
      <c r="B14" s="1" t="inlineStr">
        <is>
          <t>SAIF detail</t>
        </is>
      </c>
      <c r="C14" s="4" t="inlineStr">
        <is>
          <t>Per-component activity-based power for all 32 SoC builds.</t>
        </is>
      </c>
    </row>
    <row r="15" ht="28" customHeight="1">
      <c r="B15" s="1" t="inlineStr">
        <is>
          <t>Normalized metrics</t>
        </is>
      </c>
      <c r="C15" s="4" t="inlineStr">
        <is>
          <t>CoreMark score, CoreMark/MHz, CoreMark/LUT, DMIPS/LUT, CoreMark/W and energy per iteration.</t>
        </is>
      </c>
    </row>
    <row r="16" ht="28" customHeight="1">
      <c r="B16" s="1" t="inlineStr">
        <is>
          <t>Clocking resources</t>
        </is>
      </c>
      <c r="C16" s="4" t="inlineStr">
        <is>
          <t>BUFGCTRL and PLLE2_ADV per build.  Every design uses a PLL, not an MMCM.</t>
        </is>
      </c>
    </row>
    <row r="17" ht="28" customHeight="1">
      <c r="B17" s="1" t="inlineStr">
        <is>
          <t>Verification</t>
        </is>
      </c>
      <c r="C17" s="4" t="inlineStr">
        <is>
          <t>RISCOF, riscv-tests, Embench and randomized (AAPG) pass counts per variant, with the two randomized failure modes explained.</t>
        </is>
      </c>
    </row>
    <row r="19">
      <c r="B19" s="3" t="inlineStr">
        <is>
          <t>Known gaps</t>
        </is>
      </c>
    </row>
    <row r="20" ht="26" customHeight="1">
      <c r="C20" s="4" t="inlineStr">
        <is>
          <t>Embench RV32 on FPGA — bitstreams rebuilt after the counter fix, board runs outstanding.</t>
        </is>
      </c>
    </row>
    <row r="21" ht="26" customHeight="1">
      <c r="C21" s="4" t="inlineStr">
        <is>
          <t>No SAIF capture exists for the Embench images; the power sheets describe the CoreMark and Dhrystone SoC builds.</t>
        </is>
      </c>
    </row>
    <row r="22" ht="26" customHeight="1">
      <c r="C22" s="4" t="inlineStr">
        <is>
          <t>Randomized testing shows a control-flow divergence on the 7- and 8-stage variants that no compliance suite or benchmark reaches.  See the Verification sheet.  It affects no reported measurement.</t>
        </is>
      </c>
    </row>
    <row r="23" ht="26" customHeight="1">
      <c r="C23" s="4" t="inlineStr">
        <is>
          <t>External soft-core CoreMark/MHz and DMIPS/MHz are not measured here and must be cited from the respective papers; only area and frequency were measured under matched conditions.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AA38"/>
  <sheetViews>
    <sheetView workbookViewId="0">
      <selection activeCell="A1" sqref="A1"/>
    </sheetView>
  </sheetViews>
  <sheetFormatPr baseColWidth="8" defaultRowHeight="15"/>
  <cols>
    <col width="9" customWidth="1" min="1" max="1"/>
    <col width="19.15" customWidth="1" min="2" max="2"/>
    <col width="15.33" customWidth="1" min="3" max="3"/>
    <col width="13.58" customWidth="1" min="4" max="4"/>
    <col width="8.5" customWidth="1" min="5" max="5"/>
    <col width="8.779999999999999" customWidth="1" min="7" max="7"/>
    <col width="11.1" customWidth="1" min="8" max="8"/>
    <col width="10.12" customWidth="1" min="10" max="10"/>
    <col width="24.05" customWidth="1" min="11" max="11"/>
    <col width="8.49" customWidth="1" min="12" max="12"/>
    <col width="6.58" customWidth="1" min="13" max="13"/>
    <col width="7.08" customWidth="1" min="14" max="14"/>
    <col width="5.91" customWidth="1" min="15" max="15"/>
    <col width="6.33" customWidth="1" min="16" max="16"/>
    <col width="5.91" customWidth="1" min="17" max="17"/>
    <col width="12.82" customWidth="1" min="19" max="19"/>
    <col width="12.82" customWidth="1" min="20" max="20"/>
    <col width="9" customWidth="1" min="21" max="21"/>
    <col width="15.19" customWidth="1" min="24" max="24"/>
    <col width="11.97" customWidth="1" min="25" max="25"/>
    <col width="12.08" customWidth="1" min="26" max="26"/>
    <col width="12.89" customWidth="1" min="27" max="27"/>
    <col width="9" customWidth="1" min="28" max="28"/>
  </cols>
  <sheetData>
    <row r="2" ht="17.25" customHeight="1">
      <c r="B2" s="5" t="inlineStr">
        <is>
          <t>RV64</t>
        </is>
      </c>
      <c r="C2" s="6" t="inlineStr">
        <is>
          <t>Dhrystones/Sec</t>
        </is>
      </c>
      <c r="D2" s="6" t="inlineStr">
        <is>
          <t>Iterations/Sec</t>
        </is>
      </c>
      <c r="E2" s="7" t="inlineStr">
        <is>
          <t>DMIPS/MHz</t>
        </is>
      </c>
      <c r="F2" s="8" t="n"/>
      <c r="G2" s="8" t="n"/>
      <c r="H2" s="6" t="inlineStr">
        <is>
          <t>Coremarks/MHz</t>
        </is>
      </c>
      <c r="I2" s="9" t="n"/>
      <c r="J2" s="6" t="inlineStr">
        <is>
          <t>Core Fmax</t>
        </is>
      </c>
      <c r="K2" s="6" t="inlineStr">
        <is>
          <t>Core Total On-Chip Power</t>
        </is>
      </c>
      <c r="L2" s="10" t="inlineStr">
        <is>
          <t>Dynamic</t>
        </is>
      </c>
      <c r="M2" s="11" t="inlineStr">
        <is>
          <t>Clocks</t>
        </is>
      </c>
      <c r="N2" s="6" t="inlineStr">
        <is>
          <t>Signals</t>
        </is>
      </c>
      <c r="O2" s="6" t="inlineStr">
        <is>
          <t>Logic</t>
        </is>
      </c>
      <c r="P2" s="6" t="inlineStr">
        <is>
          <t>BRAM</t>
        </is>
      </c>
      <c r="Q2" s="6" t="inlineStr">
        <is>
          <t>DSP</t>
        </is>
      </c>
      <c r="R2" s="6" t="inlineStr">
        <is>
          <t>I/O</t>
        </is>
      </c>
      <c r="S2" s="12" t="inlineStr">
        <is>
          <t>Device Static</t>
        </is>
      </c>
      <c r="T2" s="13" t="inlineStr">
        <is>
          <t>LUT</t>
        </is>
      </c>
      <c r="U2" s="6" t="inlineStr">
        <is>
          <t>FF</t>
        </is>
      </c>
      <c r="V2" s="12" t="inlineStr">
        <is>
          <t>DSP</t>
        </is>
      </c>
      <c r="W2" s="14" t="n"/>
    </row>
    <row r="3" ht="15.75" customHeight="1">
      <c r="B3" s="15" t="inlineStr">
        <is>
          <t>I_5SP</t>
        </is>
      </c>
      <c r="C3" s="16" t="n">
        <v>78740</v>
      </c>
      <c r="D3" s="16" t="n">
        <v>35</v>
      </c>
      <c r="E3" s="16" t="inlineStr">
        <is>
          <t>1.145 @ 39MHz</t>
        </is>
      </c>
      <c r="F3" s="17" t="n"/>
      <c r="G3" s="18" t="n"/>
      <c r="H3" s="16" t="inlineStr">
        <is>
          <t>0.933 @ 37.5MHz</t>
        </is>
      </c>
      <c r="I3" s="18" t="n"/>
      <c r="J3" s="19" t="n">
        <v>51.277</v>
      </c>
      <c r="K3" s="19">
        <f>L3+S3</f>
        <v/>
      </c>
      <c r="L3" s="20">
        <f>M3+N3+O3+P3+Q3+R3</f>
        <v/>
      </c>
      <c r="M3" s="21" t="n">
        <v>0.041</v>
      </c>
      <c r="N3" s="19" t="n">
        <v>0.012</v>
      </c>
      <c r="O3" s="19" t="n">
        <v>0.012</v>
      </c>
      <c r="P3" s="19" t="n">
        <v>0</v>
      </c>
      <c r="Q3" s="19" t="n">
        <v>0</v>
      </c>
      <c r="R3" s="19" t="n">
        <v>0</v>
      </c>
      <c r="S3" s="22" t="n">
        <v>0.122</v>
      </c>
      <c r="T3" s="23" t="n">
        <v>5645</v>
      </c>
      <c r="U3" s="19" t="n">
        <v>2332</v>
      </c>
      <c r="V3" s="22" t="n">
        <v>0</v>
      </c>
      <c r="W3" s="24" t="inlineStr">
        <is>
          <t>core-only synthesis; top RV64I59F5SP; every variant at the same 200 MHz (5 ns) constraint, WNS -14.502 ns; memory externalised so area EXCLUDES ROM/RAM and IS comparable across variants; post-synthesis power</t>
        </is>
      </c>
    </row>
    <row r="4" ht="15.75" customHeight="1">
      <c r="B4" s="25" t="inlineStr">
        <is>
          <t>IM_5SP</t>
        </is>
      </c>
      <c r="C4" s="26" t="n">
        <v>74747</v>
      </c>
      <c r="D4" s="26" t="n">
        <v>91</v>
      </c>
      <c r="E4" s="26" t="inlineStr">
        <is>
          <t>1.150 @ 37MHz</t>
        </is>
      </c>
      <c r="F4" s="27" t="n"/>
      <c r="G4" s="28" t="n"/>
      <c r="H4" s="26" t="inlineStr">
        <is>
          <t>2.395 @ 38MHz</t>
        </is>
      </c>
      <c r="I4" s="28" t="n"/>
      <c r="J4" s="29" t="n">
        <v>51.159</v>
      </c>
      <c r="K4" s="19">
        <f>L4+S4</f>
        <v/>
      </c>
      <c r="L4" s="20">
        <f>M4+N4+O4+P4+Q4+R4</f>
        <v/>
      </c>
      <c r="M4" s="30" t="n">
        <v>0.038</v>
      </c>
      <c r="N4" s="29" t="n">
        <v>0.02</v>
      </c>
      <c r="O4" s="29" t="n">
        <v>0.02</v>
      </c>
      <c r="P4" s="29" t="n">
        <v>0</v>
      </c>
      <c r="Q4" s="29" t="n">
        <v>0</v>
      </c>
      <c r="R4" s="29" t="n">
        <v>0</v>
      </c>
      <c r="S4" s="31" t="n">
        <v>0.122</v>
      </c>
      <c r="T4" s="32" t="n">
        <v>8292</v>
      </c>
      <c r="U4" s="29" t="n">
        <v>3552</v>
      </c>
      <c r="V4" s="31" t="n">
        <v>20</v>
      </c>
      <c r="W4" s="24" t="inlineStr">
        <is>
          <t>core-only synthesis; top RV64IM72F5SP_CORE; every variant at the same 200 MHz (5 ns) constraint, WNS -14.547 ns; memory externalised so area EXCLUDES ROM/RAM and IS comparable across variants; post-synthesis power</t>
        </is>
      </c>
    </row>
    <row r="5" ht="15.75" customHeight="1">
      <c r="B5" s="25" t="inlineStr">
        <is>
          <t>IM_6SP</t>
        </is>
      </c>
      <c r="C5" s="26" t="n">
        <v>85603</v>
      </c>
      <c r="D5" s="26" t="n">
        <v>100</v>
      </c>
      <c r="E5" s="26" t="inlineStr">
        <is>
          <t>1.107 @ 44MHz</t>
        </is>
      </c>
      <c r="F5" s="27" t="n"/>
      <c r="G5" s="28" t="n"/>
      <c r="H5" s="26" t="inlineStr">
        <is>
          <t>2.222 @ 45MHz</t>
        </is>
      </c>
      <c r="I5" s="28" t="n"/>
      <c r="J5" s="29" t="n">
        <v>64.637</v>
      </c>
      <c r="K5" s="19">
        <f>L5+S5</f>
        <v/>
      </c>
      <c r="L5" s="20">
        <f>M5+N5+O5+P5+Q5+R5</f>
        <v/>
      </c>
      <c r="M5" s="30" t="n">
        <v>0.041</v>
      </c>
      <c r="N5" s="29" t="n">
        <v>0.023</v>
      </c>
      <c r="O5" s="29" t="n">
        <v>0.022</v>
      </c>
      <c r="P5" s="29" t="n">
        <v>0</v>
      </c>
      <c r="Q5" s="29" t="n">
        <v>0</v>
      </c>
      <c r="R5" s="29" t="n">
        <v>0</v>
      </c>
      <c r="S5" s="31" t="n">
        <v>0.122</v>
      </c>
      <c r="T5" s="32" t="n">
        <v>8600</v>
      </c>
      <c r="U5" s="29" t="n">
        <v>3947</v>
      </c>
      <c r="V5" s="31" t="n">
        <v>20</v>
      </c>
      <c r="W5" s="24" t="inlineStr">
        <is>
          <t>core-only synthesis; top RV64IM72F6SP_CORE; every variant at the same 200 MHz (5 ns) constraint, WNS -10.471 ns; memory externalised so area EXCLUDES ROM/RAM and IS comparable across variants; post-synthesis power</t>
        </is>
      </c>
    </row>
    <row r="6" ht="15.75" customHeight="1">
      <c r="B6" s="25" t="inlineStr">
        <is>
          <t>IM_7SP</t>
        </is>
      </c>
      <c r="C6" s="26" t="n">
        <v>75718</v>
      </c>
      <c r="D6" s="26" t="n">
        <v>91</v>
      </c>
      <c r="E6" s="26" t="inlineStr">
        <is>
          <t>0.886 @ 48.6111111MHz</t>
        </is>
      </c>
      <c r="F6" s="27" t="n"/>
      <c r="G6" s="28" t="n"/>
      <c r="H6" s="26" t="inlineStr">
        <is>
          <t>1.936 @ 47MHz</t>
        </is>
      </c>
      <c r="I6" s="28" t="n"/>
      <c r="J6" s="29" t="n">
        <v>64.637</v>
      </c>
      <c r="K6" s="19">
        <f>L6+S6</f>
        <v/>
      </c>
      <c r="L6" s="20">
        <f>M6+N6+O6+P6+Q6+R6</f>
        <v/>
      </c>
      <c r="M6" s="30" t="n">
        <v>0.046</v>
      </c>
      <c r="N6" s="29" t="n">
        <v>0.021</v>
      </c>
      <c r="O6" s="29" t="n">
        <v>0.019</v>
      </c>
      <c r="P6" s="29" t="n">
        <v>0</v>
      </c>
      <c r="Q6" s="29" t="n">
        <v>0</v>
      </c>
      <c r="R6" s="29" t="n">
        <v>0</v>
      </c>
      <c r="S6" s="31" t="n">
        <v>0.122</v>
      </c>
      <c r="T6" s="32" t="n">
        <v>7448</v>
      </c>
      <c r="U6" s="29" t="n">
        <v>4173</v>
      </c>
      <c r="V6" s="31" t="n">
        <v>20</v>
      </c>
      <c r="W6" s="24" t="inlineStr">
        <is>
          <t>core-only synthesis; top RV64IM72F6SP_CORE; every variant at the same 200 MHz (5 ns) constraint, WNS -10.471 ns; memory externalised so area EXCLUDES ROM/RAM and IS comparable across variants; post-synthesis power</t>
        </is>
      </c>
    </row>
    <row r="7" ht="15.75" customHeight="1">
      <c r="B7" s="25" t="inlineStr">
        <is>
          <t>IM_7SP_BRAM</t>
        </is>
      </c>
      <c r="C7" s="26" t="n">
        <v>82386</v>
      </c>
      <c r="D7" s="26" t="n">
        <v>105</v>
      </c>
      <c r="E7" s="26" t="inlineStr">
        <is>
          <t>0.808 @ 58MHz</t>
        </is>
      </c>
      <c r="F7" s="27" t="n"/>
      <c r="G7" s="28" t="n"/>
      <c r="H7" s="26" t="inlineStr">
        <is>
          <t>1.810 @ 58MHz</t>
        </is>
      </c>
      <c r="I7" s="28" t="n"/>
      <c r="J7" s="29" t="n">
        <v>64.637</v>
      </c>
      <c r="K7" s="19">
        <f>L7+S7</f>
        <v/>
      </c>
      <c r="L7" s="20">
        <f>M7+N7+O7+P7+Q7+R7</f>
        <v/>
      </c>
      <c r="M7" s="30" t="n">
        <v>0.035</v>
      </c>
      <c r="N7" s="29" t="n">
        <v>0.015</v>
      </c>
      <c r="O7" s="29" t="n">
        <v>0.014</v>
      </c>
      <c r="P7" s="29" t="n">
        <v>0</v>
      </c>
      <c r="Q7" s="29" t="n">
        <v>0</v>
      </c>
      <c r="R7" s="29" t="n">
        <v>0</v>
      </c>
      <c r="S7" s="31" t="n">
        <v>0.122</v>
      </c>
      <c r="T7" s="32" t="n">
        <v>7520</v>
      </c>
      <c r="U7" s="29" t="n">
        <v>4173</v>
      </c>
      <c r="V7" s="31" t="n">
        <v>20</v>
      </c>
      <c r="W7" s="24" t="inlineStr">
        <is>
          <t>core-only synthesis; top RV64IM72F6SP_CORE; every variant at the same 200 MHz (5 ns) constraint, WNS -10.471 ns; memory externalised so area EXCLUDES ROM/RAM and IS comparable across variants; post-synthesis power</t>
        </is>
      </c>
    </row>
    <row r="8" ht="15.75" customHeight="1">
      <c r="B8" s="25" t="inlineStr">
        <is>
          <t>IM_7SP_BRAM_Opt</t>
        </is>
      </c>
      <c r="C8" s="26" t="n">
        <v>111504</v>
      </c>
      <c r="D8" s="26" t="n">
        <v>142</v>
      </c>
      <c r="E8" s="26" t="inlineStr">
        <is>
          <t>0.784 @ 80.952381MHz</t>
        </is>
      </c>
      <c r="F8" s="27" t="n"/>
      <c r="G8" s="28" t="n"/>
      <c r="H8" s="26" t="inlineStr">
        <is>
          <t>1.754 @ 80.952381MHz</t>
        </is>
      </c>
      <c r="I8" s="28" t="n"/>
      <c r="J8" s="29" t="n">
        <v>91.651</v>
      </c>
      <c r="K8" s="19">
        <f>L8+S8</f>
        <v/>
      </c>
      <c r="L8" s="20">
        <f>M8+N8+O8+P8+Q8+R8</f>
        <v/>
      </c>
      <c r="M8" s="30" t="n">
        <v>0.029</v>
      </c>
      <c r="N8" s="29" t="n">
        <v>0.013</v>
      </c>
      <c r="O8" s="29" t="n">
        <v>0.013</v>
      </c>
      <c r="P8" s="29" t="n">
        <v>0</v>
      </c>
      <c r="Q8" s="29" t="n">
        <v>0</v>
      </c>
      <c r="R8" s="29" t="n">
        <v>0</v>
      </c>
      <c r="S8" s="31" t="n">
        <v>0.122</v>
      </c>
      <c r="T8" s="32" t="n">
        <v>6509</v>
      </c>
      <c r="U8" s="29" t="n">
        <v>3684</v>
      </c>
      <c r="V8" s="31" t="n">
        <v>20</v>
      </c>
      <c r="W8" s="24" t="inlineStr">
        <is>
          <t>core-only synthesis; top RV64IM72F6SP_CORE; every variant at the same 200 MHz (5 ns) constraint, WNS -5.911 ns; memory externalised so area EXCLUDES ROM/RAM and IS comparable across variants; post-synthesis power</t>
        </is>
      </c>
    </row>
    <row r="9" ht="15.75" customHeight="1">
      <c r="B9" s="25" t="inlineStr">
        <is>
          <t>IM_8SP_withoutOpt</t>
        </is>
      </c>
      <c r="C9" s="26" t="n">
        <v>115802</v>
      </c>
      <c r="D9" s="26" t="n">
        <v>142</v>
      </c>
      <c r="E9" s="33" t="inlineStr">
        <is>
          <t>0.687 @ 96MHz</t>
        </is>
      </c>
      <c r="F9" s="34" t="n"/>
      <c r="G9" s="35" t="n"/>
      <c r="H9" s="33" t="inlineStr">
        <is>
          <t>1.543 @ 92MHz</t>
        </is>
      </c>
      <c r="I9" s="35" t="n"/>
      <c r="J9" s="29" t="n">
        <v>89.99299999999999</v>
      </c>
      <c r="K9" s="36">
        <f>L9+S9</f>
        <v/>
      </c>
      <c r="L9" s="20">
        <f>M9+N9+O9+P9+Q9+R9</f>
        <v/>
      </c>
      <c r="M9" s="30" t="n">
        <v>0.039</v>
      </c>
      <c r="N9" s="29" t="n">
        <v>0.017</v>
      </c>
      <c r="O9" s="29" t="n">
        <v>0.014</v>
      </c>
      <c r="P9" s="29" t="n">
        <v>0</v>
      </c>
      <c r="Q9" s="29" t="n">
        <v>0</v>
      </c>
      <c r="R9" s="29" t="n">
        <v>0</v>
      </c>
      <c r="S9" s="31" t="n">
        <v>0.122</v>
      </c>
      <c r="T9" s="32" t="n">
        <v>7868</v>
      </c>
      <c r="U9" s="29" t="n">
        <v>4974</v>
      </c>
      <c r="V9" s="31" t="n">
        <v>20</v>
      </c>
      <c r="W9" s="24" t="inlineStr">
        <is>
          <t>core-only synthesis; top RV64IM72F8SP_CORE; every variant at the same 200 MHz (5 ns) constraint, WNS -6.112 ns; memory externalised so area EXCLUDES ROM/RAM and IS comparable across variants; post-synthesis power</t>
        </is>
      </c>
    </row>
    <row r="10" ht="16.5" customHeight="1">
      <c r="B10" s="37" t="inlineStr">
        <is>
          <t>IM_8SP</t>
        </is>
      </c>
      <c r="C10" s="33" t="n">
        <v>119858</v>
      </c>
      <c r="D10" s="33" t="n">
        <v>153</v>
      </c>
      <c r="E10" s="33" t="inlineStr">
        <is>
          <t>0.669 @ 102MHz</t>
        </is>
      </c>
      <c r="F10" s="34" t="n"/>
      <c r="G10" s="35" t="n"/>
      <c r="H10" s="33" t="inlineStr">
        <is>
          <t>1.50 @102MHz</t>
        </is>
      </c>
      <c r="I10" s="35" t="n"/>
      <c r="J10" s="38" t="n">
        <v>100.664</v>
      </c>
      <c r="K10" s="36">
        <f>L10+S10</f>
        <v/>
      </c>
      <c r="L10" s="39">
        <f>M10+N10+O10+P10+Q10+R10</f>
        <v/>
      </c>
      <c r="M10" s="40" t="n">
        <v>0.033</v>
      </c>
      <c r="N10" s="38" t="n">
        <v>0.014</v>
      </c>
      <c r="O10" s="38" t="n">
        <v>0.012</v>
      </c>
      <c r="P10" s="38" t="n">
        <v>0</v>
      </c>
      <c r="Q10" s="38" t="n">
        <v>0</v>
      </c>
      <c r="R10" s="38" t="n">
        <v>0</v>
      </c>
      <c r="S10" s="41" t="n">
        <v>0.122</v>
      </c>
      <c r="T10" s="42" t="n">
        <v>6981</v>
      </c>
      <c r="U10" s="38" t="n">
        <v>4489</v>
      </c>
      <c r="V10" s="41" t="n">
        <v>20</v>
      </c>
      <c r="W10" s="24" t="inlineStr">
        <is>
          <t>core-only synthesis; top RV64IM72F8SP_CORE; every variant at the same 200 MHz (5 ns) constraint, WNS -4.934 ns; memory externalised so area EXCLUDES ROM/RAM and IS comparable across variants; post-synthesis power</t>
        </is>
      </c>
    </row>
    <row r="11" ht="15.75" customHeight="1">
      <c r="W11" s="14" t="n"/>
    </row>
    <row r="12" ht="15.75" customHeight="1">
      <c r="B12" s="5" t="inlineStr">
        <is>
          <t>SoC Dhrystone</t>
        </is>
      </c>
      <c r="C12" s="6" t="inlineStr">
        <is>
          <t>LUT</t>
        </is>
      </c>
      <c r="D12" s="6" t="inlineStr">
        <is>
          <t>LUTRAM</t>
        </is>
      </c>
      <c r="E12" s="6" t="inlineStr">
        <is>
          <t>FF</t>
        </is>
      </c>
      <c r="F12" s="6" t="inlineStr">
        <is>
          <t>BRAM</t>
        </is>
      </c>
      <c r="G12" s="6" t="inlineStr">
        <is>
          <t>DSP</t>
        </is>
      </c>
      <c r="H12" s="6" t="inlineStr">
        <is>
          <t>IO</t>
        </is>
      </c>
      <c r="I12" s="6" t="inlineStr">
        <is>
          <t>PLL</t>
        </is>
      </c>
      <c r="J12" s="6" t="inlineStr">
        <is>
          <t>SoC Fmax</t>
        </is>
      </c>
      <c r="K12" s="6" t="inlineStr">
        <is>
          <t>SoC Total On-Chip Power</t>
        </is>
      </c>
      <c r="L12" s="10" t="inlineStr">
        <is>
          <t>Dynamic</t>
        </is>
      </c>
      <c r="M12" s="11" t="inlineStr">
        <is>
          <t>Clocks</t>
        </is>
      </c>
      <c r="N12" s="6" t="inlineStr">
        <is>
          <t>Signals</t>
        </is>
      </c>
      <c r="O12" s="6" t="inlineStr">
        <is>
          <t>Logic</t>
        </is>
      </c>
      <c r="P12" s="6" t="inlineStr">
        <is>
          <t>BRAM</t>
        </is>
      </c>
      <c r="Q12" s="6" t="inlineStr">
        <is>
          <t>DSP</t>
        </is>
      </c>
      <c r="R12" s="6" t="inlineStr">
        <is>
          <t>PLL</t>
        </is>
      </c>
      <c r="S12" s="6" t="inlineStr">
        <is>
          <t>I/O</t>
        </is>
      </c>
      <c r="T12" s="12" t="inlineStr">
        <is>
          <t>Device Static</t>
        </is>
      </c>
      <c r="X12" s="43" t="inlineStr">
        <is>
          <t>SAIF dynamic W</t>
        </is>
      </c>
      <c r="Y12" s="43" t="inlineStr">
        <is>
          <t>SAIF total W</t>
        </is>
      </c>
      <c r="Z12" s="43" t="inlineStr">
        <is>
          <t>vs vectorless</t>
        </is>
      </c>
      <c r="AA12" s="43" t="inlineStr">
        <is>
          <t>nets toggling</t>
        </is>
      </c>
    </row>
    <row r="13" ht="15.75" customHeight="1">
      <c r="B13" s="44" t="inlineStr">
        <is>
          <t>I_5SP</t>
        </is>
      </c>
      <c r="C13" s="45" t="n">
        <v>20540</v>
      </c>
      <c r="D13" s="45" t="n">
        <v>8280</v>
      </c>
      <c r="E13" s="45" t="n">
        <v>3430</v>
      </c>
      <c r="F13" s="45" t="n">
        <v>0</v>
      </c>
      <c r="G13" s="45" t="n">
        <v>0</v>
      </c>
      <c r="H13" s="45" t="n">
        <v>12</v>
      </c>
      <c r="I13" s="45" t="n">
        <v>1</v>
      </c>
      <c r="J13" s="45" t="n">
        <v>39.165</v>
      </c>
      <c r="K13" s="45">
        <f>L13+T13</f>
        <v/>
      </c>
      <c r="L13" s="46">
        <f>M13+N13+O13+P13+Q13+R13+S13</f>
        <v/>
      </c>
      <c r="M13" s="47" t="n">
        <v>0.016</v>
      </c>
      <c r="N13" s="45" t="n">
        <v>0.064</v>
      </c>
      <c r="O13" s="45" t="n">
        <v>0.05</v>
      </c>
      <c r="P13" s="45" t="n">
        <v>0</v>
      </c>
      <c r="Q13" s="45" t="n">
        <v>0</v>
      </c>
      <c r="R13" s="45" t="n">
        <v>0.107</v>
      </c>
      <c r="S13" s="45" t="n">
        <v>0.001</v>
      </c>
      <c r="T13" s="48" t="n">
        <v>0.152</v>
      </c>
      <c r="U13" s="24" t="inlineStr">
        <is>
          <t>2026-09-16: from project RV64I_5SP_Dhry, which holds ONLY this benchmark. Utilisation, timing and power all come from that one implementation, built from scratch with incremental implementation disabled. Core clock is the MMCM's exact output 100*M/(D*O) = 39.000000 MHz, and the benchmark image is compiled for that same frequency. WNS +0.108 ns, closes at 39.16 MHz.  ||  SAIF: activity-based dynamic 0.254 W vs vectorless 0.238 W (+6.7%); post-implementation netlist simulation without SDF, so glitch power is excluded; 72.0% of nets toggling in the captured window</t>
        </is>
      </c>
      <c r="X13" s="14" t="n">
        <v>0.254</v>
      </c>
      <c r="Y13" s="14" t="n">
        <v>0.406</v>
      </c>
      <c r="Z13" s="49" t="n">
        <v>0.067</v>
      </c>
      <c r="AA13" s="50" t="n">
        <v>0.7196</v>
      </c>
    </row>
    <row r="14" ht="15.75" customHeight="1">
      <c r="B14" s="51" t="inlineStr">
        <is>
          <t>IM_5SP</t>
        </is>
      </c>
      <c r="C14" s="52" t="n">
        <v>20979</v>
      </c>
      <c r="D14" s="52" t="n">
        <v>8280</v>
      </c>
      <c r="E14" s="52" t="n">
        <v>3815</v>
      </c>
      <c r="F14" s="52" t="n">
        <v>0</v>
      </c>
      <c r="G14" s="52" t="n">
        <v>20</v>
      </c>
      <c r="H14" s="52" t="n">
        <v>12</v>
      </c>
      <c r="I14" s="52" t="n">
        <v>1</v>
      </c>
      <c r="J14" s="52" t="n">
        <v>37.327</v>
      </c>
      <c r="K14" s="45">
        <f>L14+T14</f>
        <v/>
      </c>
      <c r="L14" s="46">
        <f>M14+N14+O14+P14+Q14+R14+S14</f>
        <v/>
      </c>
      <c r="M14" s="53" t="n">
        <v>0.012</v>
      </c>
      <c r="N14" s="52" t="n">
        <v>0.052</v>
      </c>
      <c r="O14" s="52" t="n">
        <v>0.047</v>
      </c>
      <c r="P14" s="52" t="n">
        <v>0</v>
      </c>
      <c r="Q14" s="52" t="n">
        <v>0.001</v>
      </c>
      <c r="R14" s="52" t="n">
        <v>0.104</v>
      </c>
      <c r="S14" s="52" t="n">
        <v>0</v>
      </c>
      <c r="T14" s="54" t="n">
        <v>0.152</v>
      </c>
      <c r="U14" s="24" t="inlineStr">
        <is>
          <t>2026-09-16: from project RV64IM_5SP_Dhry, which holds ONLY this benchmark. Utilisation, timing and power all come from that one implementation, built from scratch with incremental implementation disabled. Core clock is the MMCM's exact output 100*M/(D*O) = 37.000000 MHz, and the benchmark image is compiled for that same frequency. WNS +0.237 ns, closes at 37.33 MHz.  ||  SAIF: activity-based dynamic 0.214 W vs vectorless 0.216 W (-0.9%); post-implementation netlist simulation without SDF, so glitch power is excluded; 63.5% of nets toggling in the captured window</t>
        </is>
      </c>
      <c r="X14" s="14" t="n">
        <v>0.214</v>
      </c>
      <c r="Y14" s="14" t="n">
        <v>0.366</v>
      </c>
      <c r="Z14" s="49" t="n">
        <v>-0.008999999999999999</v>
      </c>
      <c r="AA14" s="50" t="n">
        <v>0.6351</v>
      </c>
    </row>
    <row r="15" ht="15.75" customHeight="1">
      <c r="B15" s="51" t="inlineStr">
        <is>
          <t>IM_6SP</t>
        </is>
      </c>
      <c r="C15" s="52" t="n">
        <v>22553</v>
      </c>
      <c r="D15" s="52" t="n">
        <v>8280</v>
      </c>
      <c r="E15" s="52" t="n">
        <v>4320</v>
      </c>
      <c r="F15" s="52" t="n">
        <v>0</v>
      </c>
      <c r="G15" s="52" t="n">
        <v>20</v>
      </c>
      <c r="H15" s="52" t="n">
        <v>12</v>
      </c>
      <c r="I15" s="52" t="n">
        <v>1</v>
      </c>
      <c r="J15" s="52" t="n">
        <v>44.324</v>
      </c>
      <c r="K15" s="45">
        <f>L15+T15</f>
        <v/>
      </c>
      <c r="L15" s="46">
        <f>M15+N15+O15+P15+Q15+R15+S15</f>
        <v/>
      </c>
      <c r="M15" s="53" t="n">
        <v>0.017</v>
      </c>
      <c r="N15" s="52" t="n">
        <v>0.06900000000000001</v>
      </c>
      <c r="O15" s="52" t="n">
        <v>0.057</v>
      </c>
      <c r="P15" s="52" t="n">
        <v>0</v>
      </c>
      <c r="Q15" s="52" t="n">
        <v>0</v>
      </c>
      <c r="R15" s="52" t="n">
        <v>0.101</v>
      </c>
      <c r="S15" s="52" t="n">
        <v>0.001</v>
      </c>
      <c r="T15" s="54" t="n">
        <v>0.152</v>
      </c>
      <c r="U15" s="55" t="inlineStr">
        <is>
          <t>2026-09-16: from project RV64IM_6SP_Dhry, which holds ONLY this benchmark. Utilisation, timing and power all come from that one implementation, built from scratch with incremental implementation disabled. Core clock is the MMCM's exact output 100*M/(D*O) = 44.000000 MHz, and the benchmark image is compiled for that same frequency. WNS +0.166 ns, closes at 44.32 MHz.  ||  SAIF: activity-based dynamic 0.242 W vs vectorless 0.245 W (-1.2%); post-implementation netlist simulation without SDF, so glitch power is excluded; 64.0% of nets toggling in the captured window</t>
        </is>
      </c>
      <c r="X15" s="14" t="n">
        <v>0.242</v>
      </c>
      <c r="Y15" s="14" t="n">
        <v>0.394</v>
      </c>
      <c r="Z15" s="49" t="n">
        <v>-0.012</v>
      </c>
      <c r="AA15" s="50" t="n">
        <v>0.64</v>
      </c>
    </row>
    <row r="16" ht="15.75" customHeight="1">
      <c r="B16" s="51" t="inlineStr">
        <is>
          <t>IM_7SP</t>
        </is>
      </c>
      <c r="C16" s="52" t="n">
        <v>19578</v>
      </c>
      <c r="D16" s="52" t="n">
        <v>8280</v>
      </c>
      <c r="E16" s="52" t="n">
        <v>4567</v>
      </c>
      <c r="F16" s="52" t="n">
        <v>0</v>
      </c>
      <c r="G16" s="52" t="n">
        <v>20</v>
      </c>
      <c r="H16" s="52" t="n">
        <v>12</v>
      </c>
      <c r="I16" s="52" t="n">
        <v>1</v>
      </c>
      <c r="J16" s="52" t="n">
        <v>48.639</v>
      </c>
      <c r="K16" s="45">
        <f>L16+T16</f>
        <v/>
      </c>
      <c r="L16" s="46">
        <f>M16+N16+O16+P16+Q16+R16+S16</f>
        <v/>
      </c>
      <c r="M16" s="53" t="n">
        <v>0.017</v>
      </c>
      <c r="N16" s="52" t="n">
        <v>0.07199999999999999</v>
      </c>
      <c r="O16" s="52" t="n">
        <v>0.057</v>
      </c>
      <c r="P16" s="52" t="n">
        <v>0</v>
      </c>
      <c r="Q16" s="52" t="n">
        <v>0</v>
      </c>
      <c r="R16" s="52" t="n">
        <v>0.101</v>
      </c>
      <c r="S16" s="52" t="n">
        <v>0.001</v>
      </c>
      <c r="T16" s="54" t="n">
        <v>0.152</v>
      </c>
      <c r="U16" s="24" t="inlineStr">
        <is>
          <t>2026-09-16: from project RV64IM_7SP_Dhry, which holds ONLY this benchmark. Utilisation, timing and power all come from that one implementation, built from scratch with incremental implementation disabled. Core clock is the MMCM's exact output 100*M/(D*O) = 48.611111 MHz, and the benchmark image is compiled for that same frequency. WNS +0.012 ns, closes at 48.64 MHz.  ||  SAIF: activity-based dynamic 0.225 W vs vectorless 0.249 W (-9.6%); post-implementation netlist simulation without SDF, so glitch power is excluded; 63.4% of nets toggling in the captured window</t>
        </is>
      </c>
      <c r="X16" s="14" t="n">
        <v>0.225</v>
      </c>
      <c r="Y16" s="14" t="n">
        <v>0.377</v>
      </c>
      <c r="Z16" s="49" t="n">
        <v>-0.096</v>
      </c>
      <c r="AA16" s="50" t="n">
        <v>0.6344</v>
      </c>
    </row>
    <row r="17" ht="15.75" customHeight="1">
      <c r="B17" s="51" t="inlineStr">
        <is>
          <t>IM_7SP_BRAM</t>
        </is>
      </c>
      <c r="C17" s="52" t="n">
        <v>9049</v>
      </c>
      <c r="D17" s="52" t="n">
        <v>88</v>
      </c>
      <c r="E17" s="52" t="n">
        <v>4378</v>
      </c>
      <c r="F17" s="52" t="n">
        <v>24</v>
      </c>
      <c r="G17" s="52" t="n">
        <v>20</v>
      </c>
      <c r="H17" s="52" t="n">
        <v>12</v>
      </c>
      <c r="I17" s="52" t="n">
        <v>1</v>
      </c>
      <c r="J17" s="52" t="n">
        <v>58.485</v>
      </c>
      <c r="K17" s="45">
        <f>L17+T17</f>
        <v/>
      </c>
      <c r="L17" s="46">
        <f>M17+N17+O17+P17+Q17+R17+S17</f>
        <v/>
      </c>
      <c r="M17" s="53" t="n">
        <v>0.013</v>
      </c>
      <c r="N17" s="52" t="n">
        <v>0.016</v>
      </c>
      <c r="O17" s="52" t="n">
        <v>0.01</v>
      </c>
      <c r="P17" s="52" t="n">
        <v>0.02</v>
      </c>
      <c r="Q17" s="52" t="n">
        <v>0</v>
      </c>
      <c r="R17" s="52" t="n">
        <v>0.118</v>
      </c>
      <c r="S17" s="52" t="n">
        <v>0.001</v>
      </c>
      <c r="T17" s="54" t="n">
        <v>0.153</v>
      </c>
      <c r="U17" s="24" t="inlineStr">
        <is>
          <t>2026-09-16: from project RV64IM_7SP_BRAM_Dhry, which holds ONLY this benchmark. Utilisation, timing and power all come from that one implementation, built from scratch with incremental implementation disabled. Core clock is the MMCM's exact output 100*M/(D*O) = 58.000000 MHz, and the benchmark image is compiled for that same frequency. WNS +0.143 ns, closes at 58.48 MHz.  ||  SAIF: activity-based dynamic 0.244 W vs vectorless 0.169 W (+44.4%); post-implementation netlist simulation without SDF, so glitch power is excluded; 52.0% of nets toggling in the captured window</t>
        </is>
      </c>
      <c r="X17" s="14" t="n">
        <v>0.244</v>
      </c>
      <c r="Y17" s="14" t="n">
        <v>0.397</v>
      </c>
      <c r="Z17" s="49" t="n">
        <v>0.444</v>
      </c>
      <c r="AA17" s="50" t="n">
        <v>0.5201</v>
      </c>
    </row>
    <row r="18" ht="15.75" customHeight="1">
      <c r="B18" s="56" t="inlineStr">
        <is>
          <t>IM_7SP_BRAM_Opt</t>
        </is>
      </c>
      <c r="C18" s="52" t="n">
        <v>8277</v>
      </c>
      <c r="D18" s="52" t="n">
        <v>88</v>
      </c>
      <c r="E18" s="52" t="n">
        <v>3921</v>
      </c>
      <c r="F18" s="52" t="n">
        <v>18</v>
      </c>
      <c r="G18" s="52" t="n">
        <v>20</v>
      </c>
      <c r="H18" s="52" t="n">
        <v>12</v>
      </c>
      <c r="I18" s="52" t="n">
        <v>1</v>
      </c>
      <c r="J18" s="52" t="n">
        <v>80.992</v>
      </c>
      <c r="K18" s="45">
        <f>L18+T18</f>
        <v/>
      </c>
      <c r="L18" s="46">
        <f>M18+N18+O18+P18+Q18+R18+S18</f>
        <v/>
      </c>
      <c r="M18" s="53" t="n">
        <v>0.017</v>
      </c>
      <c r="N18" s="52" t="n">
        <v>0.017</v>
      </c>
      <c r="O18" s="52" t="n">
        <v>0.01</v>
      </c>
      <c r="P18" s="52" t="n">
        <v>0.023</v>
      </c>
      <c r="Q18" s="52" t="n">
        <v>0</v>
      </c>
      <c r="R18" s="52" t="n">
        <v>0.117</v>
      </c>
      <c r="S18" s="52" t="n">
        <v>0.002</v>
      </c>
      <c r="T18" s="54" t="n">
        <v>0.153</v>
      </c>
      <c r="U18" s="24" t="inlineStr">
        <is>
          <t>2026-09-16: from project RV64IM_7SP_BRAM_Opt_Dhry, which holds ONLY this benchmark. Utilisation, timing and power all come from that one implementation, built from scratch with incremental implementation disabled. Core clock is the MMCM's exact output 100*M/(D*O) = 80.952381 MHz, and the benchmark image is compiled for that same frequency. WNS +0.006 ns, closes at 80.99 MHz.  ||  SAIF: activity-based dynamic 0.206 W vs vectorless 0.185 W (+11.4%); post-implementation netlist simulation without SDF, so glitch power is excluded; 39.9% of nets toggling in the captured window</t>
        </is>
      </c>
      <c r="X18" s="14" t="n">
        <v>0.206</v>
      </c>
      <c r="Y18" s="14" t="n">
        <v>0.359</v>
      </c>
      <c r="Z18" s="49" t="n">
        <v>0.114</v>
      </c>
      <c r="AA18" s="50" t="n">
        <v>0.3991</v>
      </c>
    </row>
    <row r="19" ht="15.75" customHeight="1">
      <c r="B19" s="57" t="inlineStr">
        <is>
          <t>IM_8SP_withoutOpt</t>
        </is>
      </c>
      <c r="C19" s="52" t="n">
        <v>9341</v>
      </c>
      <c r="D19" s="52" t="n">
        <v>88</v>
      </c>
      <c r="E19" s="52" t="n">
        <v>5161</v>
      </c>
      <c r="F19" s="52" t="n">
        <v>24</v>
      </c>
      <c r="G19" s="52" t="n">
        <v>20</v>
      </c>
      <c r="H19" s="52" t="n">
        <v>12</v>
      </c>
      <c r="I19" s="52" t="n">
        <v>1</v>
      </c>
      <c r="J19" s="52" t="n">
        <v>96.687</v>
      </c>
      <c r="K19" s="45">
        <f>L19+T19</f>
        <v/>
      </c>
      <c r="L19" s="46">
        <f>M19+N19+O19+P19+Q19+R19+S19</f>
        <v/>
      </c>
      <c r="M19" s="53" t="n">
        <v>0.021</v>
      </c>
      <c r="N19" s="52" t="n">
        <v>0.027</v>
      </c>
      <c r="O19" s="52" t="n">
        <v>0.015</v>
      </c>
      <c r="P19" s="52" t="n">
        <v>0.034</v>
      </c>
      <c r="Q19" s="52" t="n">
        <v>0</v>
      </c>
      <c r="R19" s="52" t="n">
        <v>0.106</v>
      </c>
      <c r="S19" s="52" t="n">
        <v>0.002</v>
      </c>
      <c r="T19" s="54" t="n">
        <v>0.153</v>
      </c>
      <c r="U19" s="24" t="inlineStr">
        <is>
          <t>2026-09-16: from project RV64IM_8SP_withoutOpt_Dhry, which holds ONLY this benchmark. Utilisation, timing and power all come from that one implementation, built from scratch with incremental implementation disabled. Core clock is the MMCM's exact output 100*M/(D*O) = 96.000000 MHz, and the benchmark image is compiled for that same frequency. WNS +0.074 ns, closes at 96.69 MHz.  ||  SAIF: activity-based dynamic 0.257 W vs vectorless 0.205 W (+25.4%); post-implementation netlist simulation without SDF, so glitch power is excluded; 52.2% of nets toggling in the captured window</t>
        </is>
      </c>
      <c r="X19" s="14" t="n">
        <v>0.257</v>
      </c>
      <c r="Y19" s="14" t="n">
        <v>0.41</v>
      </c>
      <c r="Z19" s="49" t="n">
        <v>0.254</v>
      </c>
      <c r="AA19" s="50" t="n">
        <v>0.5225</v>
      </c>
    </row>
    <row r="20" ht="15.75" customHeight="1">
      <c r="B20" s="58" t="inlineStr">
        <is>
          <t>IM_8SP</t>
        </is>
      </c>
      <c r="C20" s="59" t="n">
        <v>8569</v>
      </c>
      <c r="D20" s="59" t="n">
        <v>88</v>
      </c>
      <c r="E20" s="59" t="n">
        <v>4896</v>
      </c>
      <c r="F20" s="59" t="n">
        <v>18</v>
      </c>
      <c r="G20" s="59" t="n">
        <v>20</v>
      </c>
      <c r="H20" s="59" t="n">
        <v>12</v>
      </c>
      <c r="I20" s="59" t="n">
        <v>0</v>
      </c>
      <c r="J20" s="59" t="n">
        <v>102.977</v>
      </c>
      <c r="K20" s="60">
        <f>L20+T20</f>
        <v/>
      </c>
      <c r="L20" s="61">
        <f>M20+N20+O20+P20+Q20+R20+S20</f>
        <v/>
      </c>
      <c r="M20" s="62" t="n">
        <v>0.021</v>
      </c>
      <c r="N20" s="59" t="n">
        <v>0.025</v>
      </c>
      <c r="O20" s="59" t="n">
        <v>0.016</v>
      </c>
      <c r="P20" s="59" t="n">
        <v>0.025</v>
      </c>
      <c r="Q20" s="59" t="n">
        <v>0.002</v>
      </c>
      <c r="R20" s="59" t="n">
        <v>0.11</v>
      </c>
      <c r="S20" s="59" t="n">
        <v>0.001</v>
      </c>
      <c r="T20" s="63" t="n">
        <v>0.153</v>
      </c>
      <c r="U20" s="64" t="inlineStr">
        <is>
          <t>2026-09-16: from project RV64IM_8SP_Dhry, which holds ONLY this benchmark. Utilisation, timing and power all come from that one implementation, built from scratch with incremental implementation disabled. Core clock is the MMCM's exact output 100*M/(D*O) = 102.000000 MHz, and the benchmark image is compiled for that same frequency. WNS +0.093 ns, closes at 102.98 MHz.  ||  SAIF: activity-based dynamic 0.273 W vs vectorless 0.196 W (+39.3%); post-implementation netlist simulation without SDF, so glitch power is excluded; 53.9% of nets toggling in the captured window</t>
        </is>
      </c>
      <c r="X20" s="14" t="n">
        <v>0.273</v>
      </c>
      <c r="Y20" s="14" t="n">
        <v>0.426</v>
      </c>
      <c r="Z20" s="49" t="n">
        <v>0.393</v>
      </c>
      <c r="AA20" s="50" t="n">
        <v>0.5391</v>
      </c>
    </row>
    <row r="21" ht="15.75" customHeight="1">
      <c r="T21" s="65" t="n"/>
    </row>
    <row r="22" ht="15.75" customHeight="1">
      <c r="B22" s="5" t="inlineStr">
        <is>
          <t>SoC Coremark</t>
        </is>
      </c>
      <c r="C22" s="6" t="inlineStr">
        <is>
          <t>LUT</t>
        </is>
      </c>
      <c r="D22" s="6" t="inlineStr">
        <is>
          <t>LUTRAM</t>
        </is>
      </c>
      <c r="E22" s="6" t="inlineStr">
        <is>
          <t>FF</t>
        </is>
      </c>
      <c r="F22" s="6" t="inlineStr">
        <is>
          <t>BRAM</t>
        </is>
      </c>
      <c r="G22" s="6" t="inlineStr">
        <is>
          <t>DSP</t>
        </is>
      </c>
      <c r="H22" s="6" t="inlineStr">
        <is>
          <t>IO</t>
        </is>
      </c>
      <c r="I22" s="6" t="inlineStr">
        <is>
          <t>PLL</t>
        </is>
      </c>
      <c r="J22" s="6" t="inlineStr">
        <is>
          <t>SoC Fmax</t>
        </is>
      </c>
      <c r="K22" s="6" t="inlineStr">
        <is>
          <t>SoC Total On-Chip Power</t>
        </is>
      </c>
      <c r="L22" s="10" t="inlineStr">
        <is>
          <t>Dynamic</t>
        </is>
      </c>
      <c r="M22" s="11" t="inlineStr">
        <is>
          <t>Clocks</t>
        </is>
      </c>
      <c r="N22" s="6" t="inlineStr">
        <is>
          <t>Signals</t>
        </is>
      </c>
      <c r="O22" s="6" t="inlineStr">
        <is>
          <t>Logic</t>
        </is>
      </c>
      <c r="P22" s="6" t="inlineStr">
        <is>
          <t>BRAM</t>
        </is>
      </c>
      <c r="Q22" s="6" t="inlineStr">
        <is>
          <t>DSP</t>
        </is>
      </c>
      <c r="R22" s="6" t="inlineStr">
        <is>
          <t>PLL</t>
        </is>
      </c>
      <c r="S22" s="6" t="inlineStr">
        <is>
          <t>I/O</t>
        </is>
      </c>
      <c r="T22" s="12" t="inlineStr">
        <is>
          <t>Device Static</t>
        </is>
      </c>
      <c r="X22" s="43" t="inlineStr">
        <is>
          <t>SAIF dynamic W</t>
        </is>
      </c>
      <c r="Y22" s="43" t="inlineStr">
        <is>
          <t>SAIF total W</t>
        </is>
      </c>
      <c r="Z22" s="43" t="inlineStr">
        <is>
          <t>vs vectorless</t>
        </is>
      </c>
      <c r="AA22" s="43" t="inlineStr">
        <is>
          <t>nets toggling</t>
        </is>
      </c>
    </row>
    <row r="23" ht="15.75" customHeight="1">
      <c r="B23" s="66" t="inlineStr">
        <is>
          <t>I_5SP</t>
        </is>
      </c>
      <c r="C23" s="45" t="n">
        <v>24685</v>
      </c>
      <c r="D23" s="45" t="n">
        <v>8280</v>
      </c>
      <c r="E23" s="45" t="n">
        <v>2834</v>
      </c>
      <c r="F23" s="45" t="n">
        <v>0</v>
      </c>
      <c r="G23" s="45" t="n">
        <v>0</v>
      </c>
      <c r="H23" s="45" t="n">
        <v>12</v>
      </c>
      <c r="I23" s="45" t="n">
        <v>1</v>
      </c>
      <c r="J23" s="45" t="n">
        <v>37.711</v>
      </c>
      <c r="K23" s="45">
        <f>L23+T23</f>
        <v/>
      </c>
      <c r="L23" s="67">
        <f>M23+N23+O23+P23+Q23+R23+S23</f>
        <v/>
      </c>
      <c r="M23" s="47" t="n">
        <v>0.013</v>
      </c>
      <c r="N23" s="45" t="n">
        <v>0.092</v>
      </c>
      <c r="O23" s="45" t="n">
        <v>0.067</v>
      </c>
      <c r="P23" s="45" t="n">
        <v>0</v>
      </c>
      <c r="Q23" s="45" t="n">
        <v>0</v>
      </c>
      <c r="R23" s="45" t="n">
        <v>0.098</v>
      </c>
      <c r="S23" s="45" t="n">
        <v>0</v>
      </c>
      <c r="T23" s="48" t="n">
        <v>0.152</v>
      </c>
      <c r="U23" s="55" t="inlineStr">
        <is>
          <t>2026-09-16: from project RV64I_5SP_Coremark, which holds ONLY this benchmark. Utilisation, timing and power all come from that one implementation, built from scratch with incremental implementation disabled. Core clock is the MMCM's exact output 100*M/(D*O) = 37.500000 MHz, and the benchmark image is compiled for that same frequency. WNS +0.149 ns, closes at 37.71 MHz.  ||  SAIF: activity-based dynamic 0.270 W vs vectorless 0.238 W (+13.4%); post-implementation netlist simulation without SDF, so glitch power is excluded; 70.6% of nets toggling in the captured window</t>
        </is>
      </c>
      <c r="X23" s="14" t="n">
        <v>0.27</v>
      </c>
      <c r="Y23" s="14" t="n">
        <v>0.422</v>
      </c>
      <c r="Z23" s="49" t="n">
        <v>0.134</v>
      </c>
      <c r="AA23" s="50" t="n">
        <v>0.7062</v>
      </c>
    </row>
    <row r="24" ht="15.75" customHeight="1">
      <c r="B24" s="68" t="inlineStr">
        <is>
          <t>IM_5SP</t>
        </is>
      </c>
      <c r="C24" s="52" t="n">
        <v>26460</v>
      </c>
      <c r="D24" s="52" t="n">
        <v>8280</v>
      </c>
      <c r="E24" s="52" t="n">
        <v>3995</v>
      </c>
      <c r="F24" s="52" t="n">
        <v>0</v>
      </c>
      <c r="G24" s="52" t="n">
        <v>20</v>
      </c>
      <c r="H24" s="52" t="n">
        <v>12</v>
      </c>
      <c r="I24" s="52" t="n">
        <v>1</v>
      </c>
      <c r="J24" s="52" t="n">
        <v>38.058</v>
      </c>
      <c r="K24" s="45">
        <f>L24+T24</f>
        <v/>
      </c>
      <c r="L24" s="67">
        <f>M24+N24+O24+P24+Q24+R24+S24</f>
        <v/>
      </c>
      <c r="M24" s="53" t="n">
        <v>0.014</v>
      </c>
      <c r="N24" s="52" t="n">
        <v>0.075</v>
      </c>
      <c r="O24" s="52" t="n">
        <v>0.066</v>
      </c>
      <c r="P24" s="52" t="n">
        <v>0</v>
      </c>
      <c r="Q24" s="52" t="n">
        <v>0.002</v>
      </c>
      <c r="R24" s="52" t="n">
        <v>0.105</v>
      </c>
      <c r="S24" s="52" t="n">
        <v>0</v>
      </c>
      <c r="T24" s="54" t="n">
        <v>0.152</v>
      </c>
      <c r="U24" s="24" t="inlineStr">
        <is>
          <t>2026-09-16: from project RV64IM_5SP_Coremark, which holds ONLY this benchmark. Utilisation, timing and power all come from that one implementation, built from scratch with incremental implementation disabled. Core clock is the MMCM's exact output 100*M/(D*O) = 38.000000 MHz, and the benchmark image is compiled for that same frequency. WNS +0.040 ns, closes at 38.06 MHz.  ||  SAIF: activity-based dynamic 0.231 W vs vectorless 0.216 W (+6.9%); post-implementation netlist simulation without SDF, so glitch power is excluded; 67.7% of nets toggling in the captured window</t>
        </is>
      </c>
      <c r="X24" s="14" t="n">
        <v>0.231</v>
      </c>
      <c r="Y24" s="14" t="n">
        <v>0.383</v>
      </c>
      <c r="Z24" s="49" t="n">
        <v>0.06900000000000001</v>
      </c>
      <c r="AA24" s="50" t="n">
        <v>0.6772</v>
      </c>
    </row>
    <row r="25" ht="15.75" customHeight="1">
      <c r="B25" s="68" t="inlineStr">
        <is>
          <t>IM_6SP</t>
        </is>
      </c>
      <c r="C25" s="52" t="n">
        <v>26554</v>
      </c>
      <c r="D25" s="52" t="n">
        <v>8280</v>
      </c>
      <c r="E25" s="52" t="n">
        <v>4496</v>
      </c>
      <c r="F25" s="52" t="n">
        <v>0</v>
      </c>
      <c r="G25" s="52" t="n">
        <v>20</v>
      </c>
      <c r="H25" s="52" t="n">
        <v>12</v>
      </c>
      <c r="I25" s="52" t="n">
        <v>1</v>
      </c>
      <c r="J25" s="52" t="n">
        <v>45.108</v>
      </c>
      <c r="K25" s="45">
        <f>L25+T25</f>
        <v/>
      </c>
      <c r="L25" s="67">
        <f>M25+N25+O25+P25+Q25+R25+S25</f>
        <v/>
      </c>
      <c r="M25" s="53" t="n">
        <v>0.018</v>
      </c>
      <c r="N25" s="52" t="n">
        <v>0.066</v>
      </c>
      <c r="O25" s="52" t="n">
        <v>0.065</v>
      </c>
      <c r="P25" s="52" t="n">
        <v>0</v>
      </c>
      <c r="Q25" s="52" t="n">
        <v>0</v>
      </c>
      <c r="R25" s="52" t="n">
        <v>0.103</v>
      </c>
      <c r="S25" s="52" t="n">
        <v>0.001</v>
      </c>
      <c r="T25" s="54" t="n">
        <v>0.152</v>
      </c>
      <c r="U25" s="24" t="inlineStr">
        <is>
          <t>2026-09-16: from project RV64IM_6SP_Coremark, which holds ONLY this benchmark. Utilisation, timing and power all come from that one implementation, built from scratch with incremental implementation disabled. Core clock is the MMCM's exact output 100*M/(D*O) = 45.000000 MHz, and the benchmark image is compiled for that same frequency. WNS +0.053 ns, closes at 45.11 MHz.  ||  SAIF: activity-based dynamic 0.244 W vs vectorless 0.245 W (-0.4%); post-implementation netlist simulation without SDF, so glitch power is excluded; 67.2% of nets toggling in the captured window</t>
        </is>
      </c>
      <c r="X25" s="14" t="n">
        <v>0.244</v>
      </c>
      <c r="Y25" s="14" t="n">
        <v>0.396</v>
      </c>
      <c r="Z25" s="49" t="n">
        <v>-0.004</v>
      </c>
      <c r="AA25" s="50" t="n">
        <v>0.6724</v>
      </c>
    </row>
    <row r="26" ht="15.75" customHeight="1">
      <c r="B26" s="68" t="inlineStr">
        <is>
          <t>IM_7SP</t>
        </is>
      </c>
      <c r="C26" s="52" t="n">
        <v>21320</v>
      </c>
      <c r="D26" s="52" t="n">
        <v>8280</v>
      </c>
      <c r="E26" s="52" t="n">
        <v>4726</v>
      </c>
      <c r="F26" s="52" t="n">
        <v>8</v>
      </c>
      <c r="G26" s="52" t="n">
        <v>20</v>
      </c>
      <c r="H26" s="52" t="n">
        <v>12</v>
      </c>
      <c r="I26" s="52" t="n">
        <v>1</v>
      </c>
      <c r="J26" s="52" t="n">
        <v>47.374</v>
      </c>
      <c r="K26" s="45">
        <f>L26+T26</f>
        <v/>
      </c>
      <c r="L26" s="67">
        <f>M26+N26+O26+P26+Q26+R26+S26</f>
        <v/>
      </c>
      <c r="M26" s="53" t="n">
        <v>0.018</v>
      </c>
      <c r="N26" s="52" t="n">
        <v>0.054</v>
      </c>
      <c r="O26" s="52" t="n">
        <v>0.047</v>
      </c>
      <c r="P26" s="52" t="n">
        <v>0.006</v>
      </c>
      <c r="Q26" s="52" t="n">
        <v>0</v>
      </c>
      <c r="R26" s="52" t="n">
        <v>0.105</v>
      </c>
      <c r="S26" s="52" t="n">
        <v>0</v>
      </c>
      <c r="T26" s="54" t="n">
        <v>0.152</v>
      </c>
      <c r="U26" s="24" t="inlineStr">
        <is>
          <t>2026-09-16: from project RV64IM_7SP_Coremark, which holds ONLY this benchmark. Utilisation, timing and power all come from that one implementation, built from scratch with incremental implementation disabled. Core clock is the MMCM's exact output 100*M/(D*O) = 47.000000 MHz, and the benchmark image is compiled for that same frequency. WNS +0.168 ns, closes at 47.37 MHz.  ||  SAIF: activity-based dynamic 0.249 W vs vectorless 0.230 W (+8.3%); post-implementation netlist simulation without SDF, so glitch power is excluded; 62.9% of nets toggling in the captured window</t>
        </is>
      </c>
      <c r="X26" s="14" t="n">
        <v>0.249</v>
      </c>
      <c r="Y26" s="14" t="n">
        <v>0.402</v>
      </c>
      <c r="Z26" s="49" t="n">
        <v>0.083</v>
      </c>
      <c r="AA26" s="50" t="n">
        <v>0.6284999999999999</v>
      </c>
    </row>
    <row r="27" ht="15.75" customHeight="1">
      <c r="B27" s="68" t="inlineStr">
        <is>
          <t>IM_7SP_BRAM</t>
        </is>
      </c>
      <c r="C27" s="52" t="n">
        <v>12378</v>
      </c>
      <c r="D27" s="52" t="n">
        <v>88</v>
      </c>
      <c r="E27" s="52" t="n">
        <v>4664</v>
      </c>
      <c r="F27" s="52" t="n">
        <v>24</v>
      </c>
      <c r="G27" s="52" t="n">
        <v>20</v>
      </c>
      <c r="H27" s="52" t="n">
        <v>12</v>
      </c>
      <c r="I27" s="52" t="n">
        <v>1</v>
      </c>
      <c r="J27" s="52" t="n">
        <v>58.591</v>
      </c>
      <c r="K27" s="45">
        <f>L27+T27</f>
        <v/>
      </c>
      <c r="L27" s="67">
        <f>M27+N27+O27+P27+Q27+R27+S27</f>
        <v/>
      </c>
      <c r="M27" s="53" t="n">
        <v>0.015</v>
      </c>
      <c r="N27" s="52" t="n">
        <v>0.02</v>
      </c>
      <c r="O27" s="52" t="n">
        <v>0.015</v>
      </c>
      <c r="P27" s="52" t="n">
        <v>0.02</v>
      </c>
      <c r="Q27" s="52" t="n">
        <v>0</v>
      </c>
      <c r="R27" s="52" t="n">
        <v>0.118</v>
      </c>
      <c r="S27" s="52" t="n">
        <v>0</v>
      </c>
      <c r="T27" s="54" t="n">
        <v>0.153</v>
      </c>
      <c r="U27" s="64" t="inlineStr">
        <is>
          <t>2026-09-16: from project RV64IM_7SP_BRAM_Coremark, which holds ONLY this benchmark. Utilisation, timing and power all come from that one implementation, built from scratch with incremental implementation disabled. Core clock is the MMCM's exact output 100*M/(D*O) = 58.000000 MHz, and the benchmark image is compiled for that same frequency. WNS +0.174 ns, closes at 58.59 MHz.  ||  SAIF: activity-based dynamic 0.262 W vs vectorless 0.189 W (+38.6%); post-implementation netlist simulation without SDF, so glitch power is excluded; 63.8% of nets toggling in the captured window</t>
        </is>
      </c>
      <c r="X27" s="14" t="n">
        <v>0.262</v>
      </c>
      <c r="Y27" s="14" t="n">
        <v>0.415</v>
      </c>
      <c r="Z27" s="49" t="n">
        <v>0.386</v>
      </c>
      <c r="AA27" s="50" t="n">
        <v>0.638</v>
      </c>
    </row>
    <row r="28" ht="15.75" customHeight="1">
      <c r="B28" s="57" t="inlineStr">
        <is>
          <t>IM_7SP_BRAM_Opt</t>
        </is>
      </c>
      <c r="C28" s="52" t="n">
        <v>12052</v>
      </c>
      <c r="D28" s="52" t="n">
        <v>88</v>
      </c>
      <c r="E28" s="52" t="n">
        <v>4174</v>
      </c>
      <c r="F28" s="52" t="n">
        <v>24</v>
      </c>
      <c r="G28" s="52" t="n">
        <v>20</v>
      </c>
      <c r="H28" s="52" t="n">
        <v>12</v>
      </c>
      <c r="I28" s="52" t="n">
        <v>1</v>
      </c>
      <c r="J28" s="52" t="n">
        <v>80.97199999999999</v>
      </c>
      <c r="K28" s="45">
        <f>L28+T28</f>
        <v/>
      </c>
      <c r="L28" s="67">
        <f>M28+N28+O28+P28+Q28+R28+S28</f>
        <v/>
      </c>
      <c r="M28" s="53" t="n">
        <v>0.02</v>
      </c>
      <c r="N28" s="52" t="n">
        <v>0.021</v>
      </c>
      <c r="O28" s="52" t="n">
        <v>0.015</v>
      </c>
      <c r="P28" s="52" t="n">
        <v>0.03</v>
      </c>
      <c r="Q28" s="52" t="n">
        <v>0</v>
      </c>
      <c r="R28" s="52" t="n">
        <v>0.117</v>
      </c>
      <c r="S28" s="52" t="n">
        <v>0.002</v>
      </c>
      <c r="T28" s="54" t="n">
        <v>0.153</v>
      </c>
      <c r="U28" s="24" t="inlineStr">
        <is>
          <t>2026-09-16: from project RV64IM_7SP_BRAM_Opt_Coremark, which holds ONLY this benchmark. Utilisation, timing and power all come from that one implementation, built from scratch with incremental implementation disabled. Core clock is the MMCM's exact output 100*M/(D*O) = 80.952381 MHz, and the benchmark image is compiled for that same frequency. WNS +0.003 ns, closes at 80.97 MHz.  ||  SAIF: activity-based dynamic 0.344 W vs vectorless 0.205 W (+67.8%); post-implementation netlist simulation without SDF, so glitch power is excluded; 62.6% of nets toggling in the captured window</t>
        </is>
      </c>
      <c r="X28" s="14" t="n">
        <v>0.344</v>
      </c>
      <c r="Y28" s="14" t="n">
        <v>0.498</v>
      </c>
      <c r="Z28" s="49" t="n">
        <v>0.678</v>
      </c>
      <c r="AA28" s="50" t="n">
        <v>0.6258</v>
      </c>
    </row>
    <row r="29" ht="15.75" customHeight="1">
      <c r="B29" s="56" t="inlineStr">
        <is>
          <t>IM_8SP_withoutOpt</t>
        </is>
      </c>
      <c r="C29" s="52" t="n">
        <v>12232</v>
      </c>
      <c r="D29" s="52" t="n">
        <v>88</v>
      </c>
      <c r="E29" s="52" t="n">
        <v>5354</v>
      </c>
      <c r="F29" s="52" t="n">
        <v>24</v>
      </c>
      <c r="G29" s="52" t="n">
        <v>20</v>
      </c>
      <c r="H29" s="52" t="n">
        <v>12</v>
      </c>
      <c r="I29" s="52" t="n">
        <v>1</v>
      </c>
      <c r="J29" s="52" t="n">
        <v>92.468</v>
      </c>
      <c r="K29" s="45">
        <f>L29+T29</f>
        <v/>
      </c>
      <c r="L29" s="67">
        <f>M29+N29+O29+P29+Q29+R29+S29</f>
        <v/>
      </c>
      <c r="M29" s="53" t="n">
        <v>0.024</v>
      </c>
      <c r="N29" s="52" t="n">
        <v>0.041</v>
      </c>
      <c r="O29" s="52" t="n">
        <v>0.033</v>
      </c>
      <c r="P29" s="52" t="n">
        <v>0.033</v>
      </c>
      <c r="Q29" s="52" t="n">
        <v>0</v>
      </c>
      <c r="R29" s="52" t="n">
        <v>0.103</v>
      </c>
      <c r="S29" s="52" t="n">
        <v>0.002</v>
      </c>
      <c r="T29" s="54" t="n">
        <v>0.153</v>
      </c>
      <c r="U29" s="24" t="inlineStr">
        <is>
          <t>2026-09-16: from project RV64IM_8SP_withoutOpt_Coremark, which holds ONLY this benchmark. Utilisation, timing and power all come from that one implementation, built from scratch with incremental implementation disabled. Core clock is the MMCM's exact output 100*M/(D*O) = 92.000000 MHz, and the benchmark image is compiled for that same frequency. WNS +0.055 ns, closes at 92.47 MHz.  ||  SAIF: activity-based dynamic 0.267 W vs vectorless 0.205 W (+30.2%); post-implementation netlist simulation without SDF, so glitch power is excluded; 52.0% of nets toggling in the captured window</t>
        </is>
      </c>
      <c r="X29" s="14" t="n">
        <v>0.267</v>
      </c>
      <c r="Y29" s="14" t="n">
        <v>0.42</v>
      </c>
      <c r="Z29" s="49" t="n">
        <v>0.302</v>
      </c>
      <c r="AA29" s="50" t="n">
        <v>0.5199</v>
      </c>
    </row>
    <row r="30" ht="15.75" customHeight="1">
      <c r="B30" s="69" t="inlineStr">
        <is>
          <t>IM_8SP</t>
        </is>
      </c>
      <c r="C30" s="59" t="n">
        <v>12666</v>
      </c>
      <c r="D30" s="59" t="n">
        <v>88</v>
      </c>
      <c r="E30" s="59" t="n">
        <v>5144</v>
      </c>
      <c r="F30" s="59" t="n">
        <v>24</v>
      </c>
      <c r="G30" s="59" t="n">
        <v>20</v>
      </c>
      <c r="H30" s="59" t="n">
        <v>12</v>
      </c>
      <c r="I30" s="59" t="n">
        <v>0</v>
      </c>
      <c r="J30" s="59" t="n">
        <v>102.386</v>
      </c>
      <c r="K30" s="60">
        <f>L30+T30</f>
        <v/>
      </c>
      <c r="L30" s="70">
        <f>M30+N30+O30+P30+Q30+R30+S30</f>
        <v/>
      </c>
      <c r="M30" s="62" t="n">
        <v>0.023</v>
      </c>
      <c r="N30" s="59" t="n">
        <v>0.028</v>
      </c>
      <c r="O30" s="59" t="n">
        <v>0.018</v>
      </c>
      <c r="P30" s="59" t="n">
        <v>0.032</v>
      </c>
      <c r="Q30" s="59" t="n">
        <v>0</v>
      </c>
      <c r="R30" s="59" t="n">
        <v>0.11</v>
      </c>
      <c r="S30" s="59" t="n">
        <v>0.002</v>
      </c>
      <c r="T30" s="63" t="n">
        <v>0.153</v>
      </c>
      <c r="U30" s="24" t="inlineStr">
        <is>
          <t>2026-09-16: from project RV64IM_8SP_Coremark, which holds ONLY this benchmark. Utilisation, timing and power all come from that one implementation, built from scratch with incremental implementation disabled. Core clock is the MMCM's exact output 100*M/(D*O) = 102.000000 MHz, and the benchmark image is compiled for that same frequency. WNS +0.037 ns, closes at 102.39 MHz.  ||  SAIF: activity-based dynamic 0.180 W vs vectorless 0.196 W (-8.2%); post-implementation netlist simulation without SDF, so glitch power is excluded; 23.7% of nets toggling in the captured window</t>
        </is>
      </c>
      <c r="X30" s="14" t="n">
        <v>0.18</v>
      </c>
      <c r="Y30" s="14" t="n">
        <v>0.333</v>
      </c>
      <c r="Z30" s="49" t="n">
        <v>-0.082</v>
      </c>
      <c r="AA30" s="50" t="n">
        <v>0.2374</v>
      </c>
    </row>
    <row r="32" ht="15.75" customHeight="1"/>
    <row r="33" ht="15.75" customHeight="1">
      <c r="B33" s="43" t="inlineStr">
        <is>
          <t>Legend</t>
        </is>
      </c>
    </row>
    <row r="34" ht="15.75" customHeight="1">
      <c r="B34" s="71" t="inlineStr">
        <is>
          <t>amber cells</t>
        </is>
      </c>
      <c r="C34" s="14" t="inlineStr">
        <is>
          <t>NEEDS REVIEW: not re-implemented after the RISCOF RTL fixes; values are from the pre-fix RTL</t>
        </is>
      </c>
    </row>
    <row r="35" ht="15.75" customHeight="1">
      <c r="B35" s="72" t="inlineStr">
        <is>
          <t>red Fmax</t>
        </is>
      </c>
      <c r="C35" s="14" t="inlineStr">
        <is>
          <t>timing NOT met at the PLL-set frequency (negative setup WNS); see note in column U</t>
        </is>
      </c>
    </row>
    <row r="36" ht="15.75" customHeight="1">
      <c r="C36" s="14" t="inlineStr">
        <is>
          <t>unshaded rows: re-implemented 2026-09-01 on the RISCOF-verified RTL</t>
        </is>
      </c>
    </row>
    <row r="37" ht="15.75" customHeight="1">
      <c r="C37" s="14" t="inlineStr">
        <is>
          <t>core block (rows 3-10): area + Fmax post-synthesis at the 5 ns constraint; power is POST-SYNTHESIS (routing estimated), so it is not directly comparable to the SoC post-route power below</t>
        </is>
      </c>
    </row>
    <row r="38" ht="15.75" customHeight="1">
      <c r="B38" s="73" t="inlineStr">
        <is>
          <t>blue Fmax</t>
        </is>
      </c>
      <c r="C38" s="65" t="inlineStr">
        <is>
          <t>timing met with &gt;1 MHz of headroom - the design runs faster than the benchmark image was built for; a higher-frequency .mem would use it</t>
        </is>
      </c>
    </row>
    <row r="39" ht="15.75" customHeight="1"/>
    <row r="40" ht="15.75" customHeight="1"/>
    <row r="41" ht="15.75" customHeight="1"/>
  </sheetData>
  <mergeCells count="18">
    <mergeCell ref="E10:G10"/>
    <mergeCell ref="E2:G2"/>
    <mergeCell ref="H2:I2"/>
    <mergeCell ref="H6:I6"/>
    <mergeCell ref="E5:G5"/>
    <mergeCell ref="H7:I7"/>
    <mergeCell ref="H10:I10"/>
    <mergeCell ref="E8:G8"/>
    <mergeCell ref="H5:I5"/>
    <mergeCell ref="E4:G4"/>
    <mergeCell ref="E9:G9"/>
    <mergeCell ref="E3:G3"/>
    <mergeCell ref="H8:I8"/>
    <mergeCell ref="H4:I4"/>
    <mergeCell ref="E7:G7"/>
    <mergeCell ref="H9:I9"/>
    <mergeCell ref="E6:G6"/>
    <mergeCell ref="H3:I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2:AA65"/>
  <sheetViews>
    <sheetView workbookViewId="0">
      <selection activeCell="A1" sqref="A1"/>
    </sheetView>
  </sheetViews>
  <sheetFormatPr baseColWidth="8" defaultRowHeight="15"/>
  <cols>
    <col width="9" customWidth="1" min="1" max="1"/>
    <col width="19.15" customWidth="1" min="2" max="2"/>
    <col width="15.33" customWidth="1" min="3" max="3"/>
    <col width="13.58" customWidth="1" min="4" max="4"/>
    <col width="8.5" customWidth="1" min="5" max="5"/>
    <col width="8.779999999999999" customWidth="1" min="7" max="7"/>
    <col width="10.12" customWidth="1" min="10" max="10"/>
    <col width="24.05" customWidth="1" min="11" max="11"/>
    <col width="8.49" customWidth="1" min="12" max="12"/>
    <col width="6.58" customWidth="1" min="13" max="13"/>
    <col width="7.08" customWidth="1" min="14" max="14"/>
    <col width="5.91" customWidth="1" min="15" max="15"/>
    <col width="6.33" customWidth="1" min="16" max="16"/>
    <col width="5.91" customWidth="1" min="17" max="17"/>
    <col width="12.82" customWidth="1" min="19" max="19"/>
    <col width="12.82" customWidth="1" min="20" max="20"/>
    <col width="9" customWidth="1" min="21" max="21"/>
    <col width="15.19" customWidth="1" min="24" max="24"/>
    <col width="11.97" customWidth="1" min="25" max="25"/>
    <col width="10.49" customWidth="1" min="26" max="26"/>
    <col width="12.89" customWidth="1" min="27" max="27"/>
    <col width="9" customWidth="1" min="28" max="28"/>
  </cols>
  <sheetData>
    <row r="2" ht="15.75" customHeight="1">
      <c r="B2" s="5" t="inlineStr">
        <is>
          <t>RV32</t>
        </is>
      </c>
      <c r="C2" s="6" t="inlineStr">
        <is>
          <t>Dhrystones/Sec</t>
        </is>
      </c>
      <c r="D2" s="6" t="inlineStr">
        <is>
          <t>Iterations/Sec</t>
        </is>
      </c>
      <c r="E2" s="7" t="inlineStr">
        <is>
          <t>DMIPS/MHz</t>
        </is>
      </c>
      <c r="F2" s="8" t="n"/>
      <c r="G2" s="8" t="n"/>
      <c r="H2" s="6" t="inlineStr">
        <is>
          <t>Coremarks/MHz</t>
        </is>
      </c>
      <c r="I2" s="9" t="n"/>
      <c r="J2" s="6" t="inlineStr">
        <is>
          <t>Core Fmax</t>
        </is>
      </c>
      <c r="K2" s="6" t="inlineStr">
        <is>
          <t>Core Total On-Chip Power</t>
        </is>
      </c>
      <c r="L2" s="10" t="inlineStr">
        <is>
          <t>Dynamic</t>
        </is>
      </c>
      <c r="M2" s="11" t="inlineStr">
        <is>
          <t>Clocks</t>
        </is>
      </c>
      <c r="N2" s="6" t="inlineStr">
        <is>
          <t>Signals</t>
        </is>
      </c>
      <c r="O2" s="6" t="inlineStr">
        <is>
          <t>Logic</t>
        </is>
      </c>
      <c r="P2" s="6" t="inlineStr">
        <is>
          <t>BRAM</t>
        </is>
      </c>
      <c r="Q2" s="6" t="inlineStr">
        <is>
          <t>DSP</t>
        </is>
      </c>
      <c r="R2" s="6" t="inlineStr">
        <is>
          <t>I/O</t>
        </is>
      </c>
      <c r="S2" s="12" t="inlineStr">
        <is>
          <t>Device Static</t>
        </is>
      </c>
      <c r="T2" s="13" t="inlineStr">
        <is>
          <t>LUT</t>
        </is>
      </c>
      <c r="U2" s="6" t="inlineStr">
        <is>
          <t>FF</t>
        </is>
      </c>
      <c r="V2" s="12" t="inlineStr">
        <is>
          <t>DSP</t>
        </is>
      </c>
      <c r="W2" s="14" t="n"/>
    </row>
    <row r="3" ht="15.75" customHeight="1">
      <c r="B3" s="15" t="inlineStr">
        <is>
          <t>I_5SP</t>
        </is>
      </c>
      <c r="C3" s="45" t="n">
        <v>87378</v>
      </c>
      <c r="D3" s="45" t="n">
        <v>50</v>
      </c>
      <c r="E3" s="45" t="inlineStr">
        <is>
          <t>1.105 @ 45MHz</t>
        </is>
      </c>
      <c r="F3" s="17" t="n"/>
      <c r="G3" s="18" t="n"/>
      <c r="H3" s="45" t="inlineStr">
        <is>
          <t>1.111 @ 45MHz</t>
        </is>
      </c>
      <c r="I3" s="18" t="n"/>
      <c r="J3" s="45" t="n">
        <v>59.214</v>
      </c>
      <c r="K3" s="45">
        <f>L3+S3</f>
        <v/>
      </c>
      <c r="L3" s="67">
        <f>M3+N3+O3+Q3+R3</f>
        <v/>
      </c>
      <c r="M3" s="47" t="n">
        <v>0.021</v>
      </c>
      <c r="N3" s="45" t="n">
        <v>0.006</v>
      </c>
      <c r="O3" s="45" t="n">
        <v>0.006</v>
      </c>
      <c r="P3" s="45" t="n">
        <v>0</v>
      </c>
      <c r="Q3" s="45" t="n">
        <v>0</v>
      </c>
      <c r="R3" s="45" t="n">
        <v>0</v>
      </c>
      <c r="S3" s="48" t="n">
        <v>0.122</v>
      </c>
      <c r="T3" s="74" t="n">
        <v>2676</v>
      </c>
      <c r="U3" s="45" t="n">
        <v>1194</v>
      </c>
      <c r="V3" s="48" t="n">
        <v>0</v>
      </c>
      <c r="W3" s="75" t="inlineStr">
        <is>
          <t>core-only synthesis; top RV32I46F5SP_CORE; every variant at the same 200 MHz (5 ns) constraint, WNS -11.888 ns; memory externalised so area EXCLUDES ROM/RAM and IS comparable across variants; post-synthesis power</t>
        </is>
      </c>
    </row>
    <row r="4" ht="15.75" customHeight="1">
      <c r="B4" s="25" t="inlineStr">
        <is>
          <t>IM_5SP</t>
        </is>
      </c>
      <c r="C4" s="52" t="n">
        <v>83820</v>
      </c>
      <c r="D4" s="52" t="n">
        <v>117</v>
      </c>
      <c r="E4" s="52" t="inlineStr">
        <is>
          <t>1.109 @ 43MHz</t>
        </is>
      </c>
      <c r="F4" s="27" t="n"/>
      <c r="G4" s="28" t="n"/>
      <c r="H4" s="52" t="inlineStr">
        <is>
          <t>2.721 @ 43MHz</t>
        </is>
      </c>
      <c r="I4" s="28" t="n"/>
      <c r="J4" s="52" t="n">
        <v>57.998</v>
      </c>
      <c r="K4" s="45">
        <f>L4+S4</f>
        <v/>
      </c>
      <c r="L4" s="67">
        <f>M4+N4+O4+P4+Q4+R4</f>
        <v/>
      </c>
      <c r="M4" s="53" t="n">
        <v>0.026</v>
      </c>
      <c r="N4" s="52" t="n">
        <v>0.008</v>
      </c>
      <c r="O4" s="52" t="n">
        <v>0.008</v>
      </c>
      <c r="P4" s="52" t="n">
        <v>0</v>
      </c>
      <c r="Q4" s="52" t="n">
        <v>0</v>
      </c>
      <c r="R4" s="52" t="n">
        <v>0</v>
      </c>
      <c r="S4" s="54" t="n">
        <v>0.122</v>
      </c>
      <c r="T4" s="76" t="n">
        <v>3759</v>
      </c>
      <c r="U4" s="52" t="n">
        <v>1719</v>
      </c>
      <c r="V4" s="54" t="n">
        <v>4</v>
      </c>
      <c r="W4" s="75" t="inlineStr">
        <is>
          <t>core-only synthesis; top RV32IM72F5SP_CORE; every variant at the same 200 MHz (5 ns) constraint, WNS -12.242 ns; memory externalised so area EXCLUDES ROM/RAM and IS comparable across variants; post-synthesis power</t>
        </is>
      </c>
    </row>
    <row r="5" ht="15.75" customHeight="1">
      <c r="B5" s="25" t="inlineStr">
        <is>
          <t>IM_6SP</t>
        </is>
      </c>
      <c r="C5" s="52" t="n">
        <v>97015</v>
      </c>
      <c r="D5" s="52" t="n">
        <v>125</v>
      </c>
      <c r="E5" s="52" t="inlineStr">
        <is>
          <t>1.072 @ 51.515152MHz</t>
        </is>
      </c>
      <c r="F5" s="27" t="n"/>
      <c r="G5" s="28" t="n"/>
      <c r="H5" s="52" t="inlineStr">
        <is>
          <t>2.5 @ 50MHz</t>
        </is>
      </c>
      <c r="I5" s="28" t="n"/>
      <c r="J5" s="52" t="n">
        <v>68.691</v>
      </c>
      <c r="K5" s="45">
        <f>L5+S5</f>
        <v/>
      </c>
      <c r="L5" s="67">
        <f>M5+N5+O5+P5+Q5+R5</f>
        <v/>
      </c>
      <c r="M5" s="53" t="n">
        <v>0.029</v>
      </c>
      <c r="N5" s="52" t="n">
        <v>0.01</v>
      </c>
      <c r="O5" s="52" t="n">
        <v>0.008999999999999999</v>
      </c>
      <c r="P5" s="52" t="n">
        <v>0</v>
      </c>
      <c r="Q5" s="52" t="n">
        <v>0</v>
      </c>
      <c r="R5" s="52" t="n">
        <v>0</v>
      </c>
      <c r="S5" s="54" t="n">
        <v>0.122</v>
      </c>
      <c r="T5" s="76" t="n">
        <v>3806</v>
      </c>
      <c r="U5" s="52" t="n">
        <v>1986</v>
      </c>
      <c r="V5" s="54" t="n">
        <v>4</v>
      </c>
      <c r="W5" s="24" t="inlineStr">
        <is>
          <t>core-only synthesis; top RV32IM72F6SP_CORE; every variant at the same 200 MHz (5 ns) constraint, WNS -9.558 ns; memory externalised so area EXCLUDES ROM/RAM and IS comparable across variants; post-synthesis power</t>
        </is>
      </c>
    </row>
    <row r="6" ht="15.75" customHeight="1">
      <c r="B6" s="25" t="inlineStr">
        <is>
          <t>IM_7SP</t>
        </is>
      </c>
      <c r="C6" s="52" t="n">
        <v>80669</v>
      </c>
      <c r="D6" s="52" t="n">
        <v>117</v>
      </c>
      <c r="E6" s="52" t="inlineStr">
        <is>
          <t>0.866 @ 53MHz</t>
        </is>
      </c>
      <c r="F6" s="27" t="n"/>
      <c r="G6" s="28" t="n"/>
      <c r="H6" s="52" t="inlineStr">
        <is>
          <t>2.035 @ 57.5MHz</t>
        </is>
      </c>
      <c r="I6" s="28" t="n"/>
      <c r="J6" s="52" t="n">
        <v>68.866</v>
      </c>
      <c r="K6" s="45">
        <f>L6+S6</f>
        <v/>
      </c>
      <c r="L6" s="67">
        <f>M6+N6+O6+P6+Q6+R6</f>
        <v/>
      </c>
      <c r="M6" s="53" t="n">
        <v>0.032</v>
      </c>
      <c r="N6" s="52" t="n">
        <v>0.007</v>
      </c>
      <c r="O6" s="52" t="n">
        <v>0.006</v>
      </c>
      <c r="P6" s="52" t="n">
        <v>0</v>
      </c>
      <c r="Q6" s="52" t="n">
        <v>0</v>
      </c>
      <c r="R6" s="52" t="n">
        <v>0</v>
      </c>
      <c r="S6" s="54" t="n">
        <v>0.122</v>
      </c>
      <c r="T6" s="76" t="n">
        <v>3151</v>
      </c>
      <c r="U6" s="52" t="n">
        <v>2116</v>
      </c>
      <c r="V6" s="54" t="n">
        <v>4</v>
      </c>
      <c r="W6" s="24" t="inlineStr">
        <is>
          <t>core-only synthesis; top RV32IM72F7SP_CORE; every variant at the same 200 MHz (5 ns) constraint, WNS -9.521 ns; memory externalised so area EXCLUDES ROM/RAM and IS comparable across variants; post-synthesis power</t>
        </is>
      </c>
    </row>
    <row r="7" ht="15.75" customHeight="1">
      <c r="B7" s="25" t="inlineStr">
        <is>
          <t>IM_7SP_BRAM</t>
        </is>
      </c>
      <c r="C7" s="52" t="n">
        <v>99447</v>
      </c>
      <c r="D7" s="52" t="n">
        <v>142</v>
      </c>
      <c r="E7" s="52" t="inlineStr">
        <is>
          <t>0.786 @ 72MHz</t>
        </is>
      </c>
      <c r="F7" s="27" t="n"/>
      <c r="G7" s="28" t="n"/>
      <c r="H7" s="52" t="inlineStr">
        <is>
          <t>1.972 @ 72MHz</t>
        </is>
      </c>
      <c r="I7" s="28" t="n"/>
      <c r="J7" s="52" t="n">
        <v>68.84699999999999</v>
      </c>
      <c r="K7" s="45">
        <f>L7+S7</f>
        <v/>
      </c>
      <c r="L7" s="67">
        <f>M7+N7+O7+P7+Q7+R7</f>
        <v/>
      </c>
      <c r="M7" s="53" t="n">
        <v>0.023</v>
      </c>
      <c r="N7" s="52" t="n">
        <v>0.006</v>
      </c>
      <c r="O7" s="52" t="n">
        <v>0.005</v>
      </c>
      <c r="P7" s="52" t="n">
        <v>0</v>
      </c>
      <c r="Q7" s="52" t="n">
        <v>0</v>
      </c>
      <c r="R7" s="52" t="n">
        <v>0</v>
      </c>
      <c r="S7" s="54" t="n">
        <v>0.122</v>
      </c>
      <c r="T7" s="76" t="n">
        <v>3188</v>
      </c>
      <c r="U7" s="52" t="n">
        <v>2116</v>
      </c>
      <c r="V7" s="54" t="n">
        <v>4</v>
      </c>
      <c r="W7" s="24" t="inlineStr">
        <is>
          <t>core-only synthesis; top RV32IM72F7SP_CORE; every variant at the same 200 MHz (5 ns) constraint, WNS -9.525 ns; memory externalised so area EXCLUDES ROM/RAM and IS comparable across variants; post-synthesis power</t>
        </is>
      </c>
    </row>
    <row r="8" ht="15.75" customHeight="1">
      <c r="B8" s="25" t="inlineStr">
        <is>
          <t>IM_7SP_BRAM_Opt</t>
        </is>
      </c>
      <c r="C8" s="52" t="n">
        <v>121862</v>
      </c>
      <c r="D8" s="52" t="n">
        <v>176</v>
      </c>
      <c r="E8" s="52" t="inlineStr">
        <is>
          <t>0.763 @ 90.909091MHz</t>
        </is>
      </c>
      <c r="F8" s="27" t="n"/>
      <c r="G8" s="28" t="n"/>
      <c r="H8" s="52" t="inlineStr">
        <is>
          <t>1.913 @ 92MHz</t>
        </is>
      </c>
      <c r="I8" s="28" t="n"/>
      <c r="J8" s="52" t="n">
        <v>94.277</v>
      </c>
      <c r="K8" s="45">
        <f>L8+S8</f>
        <v/>
      </c>
      <c r="L8" s="67">
        <f>M8+N8+O8+P8+Q8+R8</f>
        <v/>
      </c>
      <c r="M8" s="53" t="n">
        <v>0.02</v>
      </c>
      <c r="N8" s="52" t="n">
        <v>0.006</v>
      </c>
      <c r="O8" s="52" t="n">
        <v>0.005</v>
      </c>
      <c r="P8" s="52" t="n">
        <v>0</v>
      </c>
      <c r="Q8" s="52" t="n">
        <v>0</v>
      </c>
      <c r="R8" s="52" t="n">
        <v>0</v>
      </c>
      <c r="S8" s="54" t="n">
        <v>0.122</v>
      </c>
      <c r="T8" s="76" t="n">
        <v>2633</v>
      </c>
      <c r="U8" s="52" t="n">
        <v>1847</v>
      </c>
      <c r="V8" s="54" t="n">
        <v>4</v>
      </c>
      <c r="W8" s="24" t="inlineStr">
        <is>
          <t>core-only synthesis; top RV32IM72F7SP_CORE; every variant at the same 200 MHz (5 ns) constraint, WNS -5.607 ns; memory externalised so area EXCLUDES ROM/RAM and IS comparable across variants; post-synthesis power</t>
        </is>
      </c>
    </row>
    <row r="9" ht="15.75" customHeight="1">
      <c r="B9" s="25" t="inlineStr">
        <is>
          <t>IM_8SP_withoutOpt</t>
        </is>
      </c>
      <c r="C9" s="52" t="n">
        <v>134433</v>
      </c>
      <c r="D9" s="52" t="n">
        <v>166</v>
      </c>
      <c r="E9" s="77" t="inlineStr">
        <is>
          <t>0.671 @ 114MHz</t>
        </is>
      </c>
      <c r="F9" s="78" t="n"/>
      <c r="G9" s="79" t="n"/>
      <c r="H9" s="52" t="inlineStr">
        <is>
          <t>1.456 @ 114MHz</t>
        </is>
      </c>
      <c r="I9" s="28" t="n"/>
      <c r="J9" s="52" t="n">
        <v>98.756</v>
      </c>
      <c r="K9" s="45">
        <f>L9+S9</f>
        <v/>
      </c>
      <c r="L9" s="67">
        <f>M9+N9+O9+P9+Q9+R9</f>
        <v/>
      </c>
      <c r="M9" s="53" t="n">
        <v>0.026</v>
      </c>
      <c r="N9" s="52" t="n">
        <v>0.007</v>
      </c>
      <c r="O9" s="52" t="n">
        <v>0.005</v>
      </c>
      <c r="P9" s="52" t="n">
        <v>0</v>
      </c>
      <c r="Q9" s="52" t="n">
        <v>0</v>
      </c>
      <c r="R9" s="52" t="n">
        <v>0</v>
      </c>
      <c r="S9" s="54" t="n">
        <v>0.122</v>
      </c>
      <c r="T9" s="76" t="n">
        <v>3240</v>
      </c>
      <c r="U9" s="52" t="n">
        <v>2549</v>
      </c>
      <c r="V9" s="54" t="n">
        <v>4</v>
      </c>
      <c r="W9" s="24" t="inlineStr">
        <is>
          <t>core-only synthesis; top RV32IM72F8SP_CORE; every variant at the same 200 MHz (5 ns) constraint, WNS -5.126 ns; memory externalised so area EXCLUDES ROM/RAM and IS comparable across variants; post-synthesis power</t>
        </is>
      </c>
    </row>
    <row r="10" ht="15.75" customHeight="1">
      <c r="A10" s="80" t="n"/>
      <c r="B10" s="37" t="inlineStr">
        <is>
          <t>IM_8SP</t>
        </is>
      </c>
      <c r="C10" s="59" t="n">
        <v>140229</v>
      </c>
      <c r="D10" s="59" t="n">
        <v>200</v>
      </c>
      <c r="E10" s="59" t="inlineStr">
        <is>
          <t>0.654 @ 122MHz</t>
        </is>
      </c>
      <c r="F10" s="34" t="n"/>
      <c r="G10" s="35" t="n"/>
      <c r="H10" s="59" t="inlineStr">
        <is>
          <t>1.639 @ 122MHz</t>
        </is>
      </c>
      <c r="I10" s="35" t="n"/>
      <c r="J10" s="59" t="n">
        <v>105.186</v>
      </c>
      <c r="K10" s="60">
        <f>L10+S10</f>
        <v/>
      </c>
      <c r="L10" s="70">
        <f>M10+N10+O10+P10+Q10+R10</f>
        <v/>
      </c>
      <c r="M10" s="62" t="n">
        <v>0.022</v>
      </c>
      <c r="N10" s="59" t="n">
        <v>0.008</v>
      </c>
      <c r="O10" s="59" t="n">
        <v>0.006</v>
      </c>
      <c r="P10" s="59" t="n">
        <v>0</v>
      </c>
      <c r="Q10" s="59" t="n">
        <v>0</v>
      </c>
      <c r="R10" s="59" t="n">
        <v>0</v>
      </c>
      <c r="S10" s="63" t="n">
        <v>0.122</v>
      </c>
      <c r="T10" s="81" t="n">
        <v>2878</v>
      </c>
      <c r="U10" s="59" t="n">
        <v>2278</v>
      </c>
      <c r="V10" s="63" t="n">
        <v>4</v>
      </c>
      <c r="W10" s="24" t="inlineStr">
        <is>
          <t>core-only synthesis; top RV32IM72F8SP_CORE; every variant at the same 200 MHz (5 ns) constraint, WNS -4.507 ns; memory externalised so area EXCLUDES ROM/RAM and IS comparable across variants; post-synthesis power</t>
        </is>
      </c>
    </row>
    <row r="11" ht="15.75" customHeight="1">
      <c r="A11" s="14" t="n"/>
      <c r="W11" s="14" t="n"/>
    </row>
    <row r="12" ht="15.75" customHeight="1">
      <c r="B12" s="5" t="inlineStr">
        <is>
          <t>SoC Dhrystone</t>
        </is>
      </c>
      <c r="C12" s="6" t="inlineStr">
        <is>
          <t>LUT</t>
        </is>
      </c>
      <c r="D12" s="6" t="inlineStr">
        <is>
          <t>LUTRAM</t>
        </is>
      </c>
      <c r="E12" s="6" t="inlineStr">
        <is>
          <t>FF</t>
        </is>
      </c>
      <c r="F12" s="6" t="inlineStr">
        <is>
          <t>BRAM</t>
        </is>
      </c>
      <c r="G12" s="6" t="inlineStr">
        <is>
          <t>DSP</t>
        </is>
      </c>
      <c r="H12" s="6" t="inlineStr">
        <is>
          <t>IO</t>
        </is>
      </c>
      <c r="I12" s="6" t="inlineStr">
        <is>
          <t>PLL</t>
        </is>
      </c>
      <c r="J12" s="6" t="inlineStr">
        <is>
          <t>SoC Fmax</t>
        </is>
      </c>
      <c r="K12" s="6" t="inlineStr">
        <is>
          <t>SoC Total On-Chip Power</t>
        </is>
      </c>
      <c r="L12" s="10" t="inlineStr">
        <is>
          <t>Dynamic</t>
        </is>
      </c>
      <c r="M12" s="11" t="inlineStr">
        <is>
          <t>Clocks</t>
        </is>
      </c>
      <c r="N12" s="6" t="inlineStr">
        <is>
          <t>Signals</t>
        </is>
      </c>
      <c r="O12" s="6" t="inlineStr">
        <is>
          <t>Logic</t>
        </is>
      </c>
      <c r="P12" s="6" t="inlineStr">
        <is>
          <t>BRAM</t>
        </is>
      </c>
      <c r="Q12" s="6" t="inlineStr">
        <is>
          <t>DSP</t>
        </is>
      </c>
      <c r="R12" s="6" t="inlineStr">
        <is>
          <t>PLL</t>
        </is>
      </c>
      <c r="S12" s="6" t="inlineStr">
        <is>
          <t>I/O</t>
        </is>
      </c>
      <c r="T12" s="12" t="inlineStr">
        <is>
          <t>Device Static</t>
        </is>
      </c>
      <c r="X12" s="43" t="inlineStr">
        <is>
          <t>SAIF dynamic W</t>
        </is>
      </c>
      <c r="Y12" s="43" t="inlineStr">
        <is>
          <t>SAIF total W</t>
        </is>
      </c>
      <c r="Z12" s="43" t="inlineStr">
        <is>
          <t>vs vectorless</t>
        </is>
      </c>
      <c r="AA12" s="43" t="inlineStr">
        <is>
          <t>nets toggling</t>
        </is>
      </c>
    </row>
    <row r="13" ht="15.75" customHeight="1">
      <c r="B13" s="82" t="inlineStr">
        <is>
          <t>I_5SP</t>
        </is>
      </c>
      <c r="C13" s="45" t="n">
        <v>13799</v>
      </c>
      <c r="D13" s="45" t="n">
        <v>4140</v>
      </c>
      <c r="E13" s="45" t="n">
        <v>2039</v>
      </c>
      <c r="F13" s="45" t="n">
        <v>0</v>
      </c>
      <c r="G13" s="45" t="n">
        <v>0</v>
      </c>
      <c r="H13" s="45" t="n">
        <v>12</v>
      </c>
      <c r="I13" s="45" t="n">
        <v>1</v>
      </c>
      <c r="J13" s="45" t="n">
        <v>45.012</v>
      </c>
      <c r="K13" s="45">
        <f>L13+T13</f>
        <v/>
      </c>
      <c r="L13" s="46">
        <f>M13+N13+O13+P13+Q13+R13+S13</f>
        <v/>
      </c>
      <c r="M13" s="47" t="n">
        <v>0.012</v>
      </c>
      <c r="N13" s="45" t="n">
        <v>0.035</v>
      </c>
      <c r="O13" s="45" t="n">
        <v>0.031</v>
      </c>
      <c r="P13" s="45" t="n">
        <v>0</v>
      </c>
      <c r="Q13" s="45" t="n">
        <v>0</v>
      </c>
      <c r="R13" s="45" t="n">
        <v>0.103</v>
      </c>
      <c r="S13" s="45" t="n">
        <v>0.001</v>
      </c>
      <c r="T13" s="48" t="n">
        <v>0.152</v>
      </c>
      <c r="U13" s="24" t="inlineStr">
        <is>
          <t>2026-09-16: from project RV32I_5SP_Dhry, which holds ONLY this benchmark. Utilisation, timing and power all come from that one implementation, built from scratch with incremental implementation disabled. Core clock is the MMCM's exact output 100*M/(D*O) = 45.000000 MHz, and the benchmark image is compiled for that same frequency. WNS +0.006 ns, closes at 45.01 MHz.  ||  SAIF: activity-based dynamic 0.224 W vs vectorless 0.181 W (+23.8%); post-implementation netlist simulation without SDF, so glitch power is excluded; 74.7% of nets toggling in the captured window</t>
        </is>
      </c>
      <c r="X13" s="14" t="n">
        <v>0.224</v>
      </c>
      <c r="Y13" s="14" t="n">
        <v>0.376</v>
      </c>
      <c r="Z13" s="49" t="n">
        <v>0.238</v>
      </c>
      <c r="AA13" s="50" t="n">
        <v>0.7468</v>
      </c>
    </row>
    <row r="14" ht="15.75" customHeight="1">
      <c r="B14" s="83" t="inlineStr">
        <is>
          <t>IM_5SP</t>
        </is>
      </c>
      <c r="C14" s="52" t="n">
        <v>12559</v>
      </c>
      <c r="D14" s="52" t="n">
        <v>4140</v>
      </c>
      <c r="E14" s="52" t="n">
        <v>2160</v>
      </c>
      <c r="F14" s="52" t="n">
        <v>0</v>
      </c>
      <c r="G14" s="52" t="n">
        <v>4</v>
      </c>
      <c r="H14" s="52" t="n">
        <v>12</v>
      </c>
      <c r="I14" s="52" t="n">
        <v>1</v>
      </c>
      <c r="J14" s="52" t="n">
        <v>43.137</v>
      </c>
      <c r="K14" s="45">
        <f>L14+T14</f>
        <v/>
      </c>
      <c r="L14" s="46">
        <f>M14+N14+O14+P14+Q14+R14+S14</f>
        <v/>
      </c>
      <c r="M14" s="53" t="n">
        <v>0.008</v>
      </c>
      <c r="N14" s="52" t="n">
        <v>0.022</v>
      </c>
      <c r="O14" s="52" t="n">
        <v>0.023</v>
      </c>
      <c r="P14" s="52" t="n">
        <v>0</v>
      </c>
      <c r="Q14" s="52" t="n">
        <v>0</v>
      </c>
      <c r="R14" s="52" t="n">
        <v>0.1</v>
      </c>
      <c r="S14" s="52" t="n">
        <v>0</v>
      </c>
      <c r="T14" s="54" t="n">
        <v>0.152</v>
      </c>
      <c r="U14" s="75" t="inlineStr">
        <is>
          <t>2026-09-16: from project RV32IM_5SP_Dhry, which holds ONLY this benchmark. Utilisation, timing and power all come from that one implementation, built from scratch with incremental implementation disabled. Core clock is the MMCM's exact output 100*M/(D*O) = 43.000000 MHz, and the benchmark image is compiled for that same frequency. WNS +0.074 ns, closes at 43.14 MHz.  ||  SAIF: activity-based dynamic 0.214 W vs vectorless 0.189 W (+13.2%); post-implementation netlist simulation without SDF, so glitch power is excluded; 72.0% of nets toggling in the captured window</t>
        </is>
      </c>
      <c r="V14" s="14" t="n"/>
      <c r="W14" s="14" t="n"/>
      <c r="X14" s="14" t="n">
        <v>0.214</v>
      </c>
      <c r="Y14" s="14" t="n">
        <v>0.366</v>
      </c>
      <c r="Z14" s="49" t="n">
        <v>0.132</v>
      </c>
      <c r="AA14" s="50" t="n">
        <v>0.72</v>
      </c>
    </row>
    <row r="15" ht="15.75" customHeight="1">
      <c r="B15" s="83" t="inlineStr">
        <is>
          <t>IM_6SP</t>
        </is>
      </c>
      <c r="C15" s="52" t="n">
        <v>14338</v>
      </c>
      <c r="D15" s="52" t="n">
        <v>4140</v>
      </c>
      <c r="E15" s="52" t="n">
        <v>2426</v>
      </c>
      <c r="F15" s="52" t="n">
        <v>0</v>
      </c>
      <c r="G15" s="52" t="n">
        <v>4</v>
      </c>
      <c r="H15" s="52" t="n">
        <v>12</v>
      </c>
      <c r="I15" s="52" t="n">
        <v>1</v>
      </c>
      <c r="J15" s="52" t="n">
        <v>51.52</v>
      </c>
      <c r="K15" s="45">
        <f>L15+T15</f>
        <v/>
      </c>
      <c r="L15" s="46">
        <f>M15+N15+O15+P15+Q15+R15+S15</f>
        <v/>
      </c>
      <c r="M15" s="53" t="n">
        <v>0.012</v>
      </c>
      <c r="N15" s="52" t="n">
        <v>0.039</v>
      </c>
      <c r="O15" s="52" t="n">
        <v>0.039</v>
      </c>
      <c r="P15" s="52" t="n">
        <v>0</v>
      </c>
      <c r="Q15" s="52" t="n">
        <v>0</v>
      </c>
      <c r="R15" s="52" t="n">
        <v>0.116</v>
      </c>
      <c r="S15" s="52" t="n">
        <v>0.001</v>
      </c>
      <c r="T15" s="54" t="n">
        <v>0.152</v>
      </c>
      <c r="U15" s="24" t="inlineStr">
        <is>
          <t>2026-09-16: from project RV32IM_6SP_Dhry, which holds ONLY this benchmark. Utilisation, timing and power all come from that one implementation, built from scratch with incremental implementation disabled. Core clock is the MMCM's exact output 100*M/(D*O) = 51.515152 MHz, and the benchmark image is compiled for that same frequency. WNS +0.002 ns, closes at 51.52 MHz.  ||  SAIF: activity-based dynamic 0.234 W vs vectorless 0.209 W (+12.0%); post-implementation netlist simulation without SDF, so glitch power is excluded; 72.1% of nets toggling in the captured window</t>
        </is>
      </c>
      <c r="V15" s="14" t="n"/>
      <c r="W15" s="14" t="n"/>
      <c r="X15" s="14" t="n">
        <v>0.234</v>
      </c>
      <c r="Y15" s="14" t="n">
        <v>0.386</v>
      </c>
      <c r="Z15" s="49" t="n">
        <v>0.12</v>
      </c>
      <c r="AA15" s="50" t="n">
        <v>0.7211</v>
      </c>
    </row>
    <row r="16" ht="15.75" customHeight="1">
      <c r="B16" s="83" t="inlineStr">
        <is>
          <t>IM_7SP</t>
        </is>
      </c>
      <c r="C16" s="52" t="n">
        <v>12089</v>
      </c>
      <c r="D16" s="52" t="n">
        <v>4140</v>
      </c>
      <c r="E16" s="52" t="n">
        <v>2666</v>
      </c>
      <c r="F16" s="52" t="n">
        <v>0</v>
      </c>
      <c r="G16" s="52" t="n">
        <v>4</v>
      </c>
      <c r="H16" s="52" t="n">
        <v>12</v>
      </c>
      <c r="I16" s="52" t="n">
        <v>1</v>
      </c>
      <c r="J16" s="52" t="n">
        <v>53.087</v>
      </c>
      <c r="K16" s="45">
        <f>L16+T16</f>
        <v/>
      </c>
      <c r="L16" s="46">
        <f>M16+N16+O16+P16+Q16+R16+S16</f>
        <v/>
      </c>
      <c r="M16" s="53" t="n">
        <v>0.011</v>
      </c>
      <c r="N16" s="52" t="n">
        <v>0.035</v>
      </c>
      <c r="O16" s="52" t="n">
        <v>0.037</v>
      </c>
      <c r="P16" s="52" t="n">
        <v>0</v>
      </c>
      <c r="Q16" s="52" t="n">
        <v>0</v>
      </c>
      <c r="R16" s="52" t="n">
        <v>0.112</v>
      </c>
      <c r="S16" s="52" t="n">
        <v>0.001</v>
      </c>
      <c r="T16" s="54" t="n">
        <v>0.152</v>
      </c>
      <c r="U16" s="24" t="inlineStr">
        <is>
          <t>2026-09-16: from project RV32IM_7SP_Dhry, which holds ONLY this benchmark. Utilisation, timing and power all come from that one implementation, built from scratch with incremental implementation disabled. Core clock is the MMCM's exact output 100*M/(D*O) = 53.000000 MHz, and the benchmark image is compiled for that same frequency. WNS +0.031 ns, closes at 53.09 MHz.  ||  SAIF: activity-based dynamic 0.206 W vs vectorless 0.197 W (+4.6%); post-implementation netlist simulation without SDF, so glitch power is excluded; 71.0% of nets toggling in the captured window</t>
        </is>
      </c>
      <c r="V16" s="14" t="n"/>
      <c r="W16" s="14" t="n"/>
      <c r="X16" s="14" t="n">
        <v>0.206</v>
      </c>
      <c r="Y16" s="14" t="n">
        <v>0.358</v>
      </c>
      <c r="Z16" s="49" t="n">
        <v>0.046</v>
      </c>
      <c r="AA16" s="50" t="n">
        <v>0.7101</v>
      </c>
    </row>
    <row r="17" ht="15.75" customHeight="1">
      <c r="B17" s="83" t="inlineStr">
        <is>
          <t>IM_7SP_BRAM</t>
        </is>
      </c>
      <c r="C17" s="52" t="n">
        <v>3113</v>
      </c>
      <c r="D17" s="52" t="n">
        <v>44</v>
      </c>
      <c r="E17" s="52" t="n">
        <v>2222</v>
      </c>
      <c r="F17" s="52" t="n">
        <v>10</v>
      </c>
      <c r="G17" s="52" t="n">
        <v>4</v>
      </c>
      <c r="H17" s="52" t="n">
        <v>12</v>
      </c>
      <c r="I17" s="52" t="n">
        <v>1</v>
      </c>
      <c r="J17" s="52" t="n">
        <v>72.47499999999999</v>
      </c>
      <c r="K17" s="45">
        <f>L17+T17</f>
        <v/>
      </c>
      <c r="L17" s="46">
        <f>M17+N17+O17+P17+Q17+R17+S17</f>
        <v/>
      </c>
      <c r="M17" s="53" t="n">
        <v>0.01</v>
      </c>
      <c r="N17" s="52" t="n">
        <v>0.007</v>
      </c>
      <c r="O17" s="52" t="n">
        <v>0.003</v>
      </c>
      <c r="P17" s="52" t="n">
        <v>0.014</v>
      </c>
      <c r="Q17" s="52" t="n">
        <v>0</v>
      </c>
      <c r="R17" s="52" t="n">
        <v>0.113</v>
      </c>
      <c r="S17" s="52" t="n">
        <v>0.002</v>
      </c>
      <c r="T17" s="54" t="n">
        <v>0.152</v>
      </c>
      <c r="U17" s="24" t="inlineStr">
        <is>
          <t>2026-09-16: from project RV32IM_7SP_BRAM_Dhry, which holds ONLY this benchmark. Utilisation, timing and power all come from that one implementation, built from scratch with incremental implementation disabled. Core clock is the MMCM's exact output 100*M/(D*O) = 72.000000 MHz, and the benchmark image is compiled for that same frequency. WNS +0.091 ns, closes at 72.47 MHz.  ||  SAIF: activity-based dynamic 0.180 W vs vectorless 0.166 W (+8.4%); post-implementation netlist simulation without SDF, so glitch power is excluded; 60.5% of nets toggling in the captured window</t>
        </is>
      </c>
      <c r="V17" s="14" t="n"/>
      <c r="W17" s="14" t="n"/>
      <c r="X17" s="14" t="n">
        <v>0.18</v>
      </c>
      <c r="Y17" s="14" t="n">
        <v>0.332</v>
      </c>
      <c r="Z17" s="49" t="n">
        <v>0.08400000000000001</v>
      </c>
      <c r="AA17" s="50" t="n">
        <v>0.6045</v>
      </c>
    </row>
    <row r="18" ht="15.75" customHeight="1">
      <c r="B18" s="83" t="inlineStr">
        <is>
          <t>IM_7SP_BRAM_Opt</t>
        </is>
      </c>
      <c r="C18" s="52" t="n">
        <v>2714</v>
      </c>
      <c r="D18" s="52" t="n">
        <v>44</v>
      </c>
      <c r="E18" s="52" t="n">
        <v>1920</v>
      </c>
      <c r="F18" s="52" t="n">
        <v>10</v>
      </c>
      <c r="G18" s="52" t="n">
        <v>4</v>
      </c>
      <c r="H18" s="52" t="n">
        <v>12</v>
      </c>
      <c r="I18" s="52" t="n">
        <v>1</v>
      </c>
      <c r="J18" s="52" t="n">
        <v>91.008</v>
      </c>
      <c r="K18" s="45">
        <f>L18+T18</f>
        <v/>
      </c>
      <c r="L18" s="46">
        <f>M18+N18+O18+P18+Q18+R18+S18</f>
        <v/>
      </c>
      <c r="M18" s="53" t="n">
        <v>0.013</v>
      </c>
      <c r="N18" s="52" t="n">
        <v>0.006</v>
      </c>
      <c r="O18" s="52" t="n">
        <v>0.003</v>
      </c>
      <c r="P18" s="52" t="n">
        <v>0.017</v>
      </c>
      <c r="Q18" s="52" t="n">
        <v>0</v>
      </c>
      <c r="R18" s="52" t="n">
        <v>0.109</v>
      </c>
      <c r="S18" s="52" t="n">
        <v>0.001</v>
      </c>
      <c r="T18" s="54" t="n">
        <v>0.152</v>
      </c>
      <c r="U18" s="24" t="inlineStr">
        <is>
          <t>2026-09-16: from project RV32IM_7SP_BRAM_Opt_Dhry, which holds ONLY this benchmark. Utilisation, timing and power all come from that one implementation, built from scratch with incremental implementation disabled. Core clock is the MMCM's exact output 100*M/(D*O) = 90.909091 MHz, and the benchmark image is compiled for that same frequency. WNS +0.012 ns, closes at 91.01 MHz.  ||  SAIF: activity-based dynamic 0.169 W vs vectorless 0.151 W (+11.9%); post-implementation netlist simulation without SDF, so glitch power is excluded; 59.8% of nets toggling in the captured window</t>
        </is>
      </c>
      <c r="V18" s="14" t="n"/>
      <c r="W18" s="14" t="n"/>
      <c r="X18" s="14" t="n">
        <v>0.169</v>
      </c>
      <c r="Y18" s="14" t="n">
        <v>0.321</v>
      </c>
      <c r="Z18" s="49" t="n">
        <v>0.119</v>
      </c>
      <c r="AA18" s="50" t="n">
        <v>0.5983000000000001</v>
      </c>
    </row>
    <row r="19" ht="15.75" customHeight="1">
      <c r="B19" s="84" t="inlineStr">
        <is>
          <t>IM_8SP_withoutOpt</t>
        </is>
      </c>
      <c r="C19" s="52" t="n">
        <v>3332</v>
      </c>
      <c r="D19" s="52" t="n">
        <v>44</v>
      </c>
      <c r="E19" s="52" t="n">
        <v>2595</v>
      </c>
      <c r="F19" s="52" t="n">
        <v>16</v>
      </c>
      <c r="G19" s="52" t="n">
        <v>4</v>
      </c>
      <c r="H19" s="52" t="n">
        <v>12</v>
      </c>
      <c r="I19" s="52" t="n">
        <v>1</v>
      </c>
      <c r="J19" s="52" t="n">
        <v>114.3</v>
      </c>
      <c r="K19" s="45">
        <f>L19+T19</f>
        <v/>
      </c>
      <c r="L19" s="46">
        <f>M19+N19+O19+P19+Q19+R19+S19</f>
        <v/>
      </c>
      <c r="M19" s="53" t="n">
        <v>0.014</v>
      </c>
      <c r="N19" s="52" t="n">
        <v>0.013</v>
      </c>
      <c r="O19" s="52" t="n">
        <v>0.005</v>
      </c>
      <c r="P19" s="52" t="n">
        <v>0.04</v>
      </c>
      <c r="Q19" s="52" t="n">
        <v>0</v>
      </c>
      <c r="R19" s="52" t="n">
        <v>0.117</v>
      </c>
      <c r="S19" s="52" t="n">
        <v>0.002</v>
      </c>
      <c r="T19" s="54" t="n">
        <v>0.153</v>
      </c>
      <c r="U19" s="55" t="inlineStr">
        <is>
          <t>2026-09-16: from project RV32IM_8SP_withoutOpt_Dhry, which holds ONLY this benchmark. Utilisation, timing and power all come from that one implementation, built from scratch with incremental implementation disabled. Core clock is the MMCM's exact output 100*M/(D*O) = 114.000000 MHz, and the benchmark image is compiled for that same frequency. WNS +0.023 ns, closes at 114.30 MHz.  ||  SAIF: activity-based dynamic 0.217 W vs vectorless 0.192 W (+13.0%); post-implementation netlist simulation without SDF, so glitch power is excluded; 60.0% of nets toggling in the captured window</t>
        </is>
      </c>
      <c r="V19" s="14" t="n"/>
      <c r="W19" s="14" t="n"/>
      <c r="X19" s="14" t="n">
        <v>0.217</v>
      </c>
      <c r="Y19" s="14" t="n">
        <v>0.37</v>
      </c>
      <c r="Z19" s="49" t="n">
        <v>0.13</v>
      </c>
      <c r="AA19" s="50" t="n">
        <v>0.6005</v>
      </c>
    </row>
    <row r="20" ht="15.75" customHeight="1">
      <c r="B20" s="85" t="inlineStr">
        <is>
          <t>IM_8SP</t>
        </is>
      </c>
      <c r="C20" s="59" t="n">
        <v>2869</v>
      </c>
      <c r="D20" s="59" t="n">
        <v>44</v>
      </c>
      <c r="E20" s="59" t="n">
        <v>2351</v>
      </c>
      <c r="F20" s="59" t="n">
        <v>16</v>
      </c>
      <c r="G20" s="59" t="n">
        <v>4</v>
      </c>
      <c r="H20" s="59" t="n">
        <v>12</v>
      </c>
      <c r="I20" s="59" t="n">
        <v>1</v>
      </c>
      <c r="J20" s="59" t="n">
        <v>122.179</v>
      </c>
      <c r="K20" s="60">
        <f>L20+T20</f>
        <v/>
      </c>
      <c r="L20" s="61">
        <f>M20+N20+O20+P20+Q20+R20+S20</f>
        <v/>
      </c>
      <c r="M20" s="62" t="n">
        <v>0.014</v>
      </c>
      <c r="N20" s="59" t="n">
        <v>0.011</v>
      </c>
      <c r="O20" s="59" t="n">
        <v>0.005</v>
      </c>
      <c r="P20" s="59" t="n">
        <v>0.037</v>
      </c>
      <c r="Q20" s="59" t="n">
        <v>0</v>
      </c>
      <c r="R20" s="59" t="n">
        <v>0.122</v>
      </c>
      <c r="S20" s="59" t="n">
        <v>0.002</v>
      </c>
      <c r="T20" s="63" t="n">
        <v>0.136</v>
      </c>
      <c r="U20" s="64" t="inlineStr">
        <is>
          <t>2026-09-16: from project RV32IM_8SP_Dhry, which holds ONLY this benchmark. Utilisation, timing and power all come from that one implementation, built from scratch with incremental implementation disabled. Core clock is the MMCM's exact output 100*M/(D*O) = 122.000000 MHz, and the benchmark image is compiled for that same frequency. WNS +0.012 ns, closes at 122.18 MHz.  ||  SAIF: activity-based dynamic 0.223 W vs vectorless 0.191 W (+16.8%); post-implementation netlist simulation without SDF, so glitch power is excluded; 60.8% of nets toggling in the captured window</t>
        </is>
      </c>
      <c r="V20" s="14" t="n"/>
      <c r="W20" s="14" t="n"/>
      <c r="X20" s="14" t="n">
        <v>0.223</v>
      </c>
      <c r="Y20" s="14" t="n">
        <v>0.359</v>
      </c>
      <c r="Z20" s="49" t="n">
        <v>0.168</v>
      </c>
      <c r="AA20" s="50" t="n">
        <v>0.6076</v>
      </c>
    </row>
    <row r="21" ht="15.75" customHeight="1">
      <c r="T21" s="65" t="n"/>
      <c r="U21" s="14" t="n"/>
      <c r="V21" s="14" t="n"/>
      <c r="W21" s="14" t="n"/>
      <c r="X21" s="14" t="n"/>
    </row>
    <row r="22" ht="15.75" customHeight="1">
      <c r="B22" s="5" t="inlineStr">
        <is>
          <t>SoC Coremark</t>
        </is>
      </c>
      <c r="C22" s="6" t="inlineStr">
        <is>
          <t>LUT</t>
        </is>
      </c>
      <c r="D22" s="6" t="inlineStr">
        <is>
          <t>LUTRAM</t>
        </is>
      </c>
      <c r="E22" s="6" t="inlineStr">
        <is>
          <t>FF</t>
        </is>
      </c>
      <c r="F22" s="6" t="inlineStr">
        <is>
          <t>BRAM</t>
        </is>
      </c>
      <c r="G22" s="6" t="inlineStr">
        <is>
          <t>DSP</t>
        </is>
      </c>
      <c r="H22" s="6" t="inlineStr">
        <is>
          <t>IO</t>
        </is>
      </c>
      <c r="I22" s="6" t="inlineStr">
        <is>
          <t>PLL</t>
        </is>
      </c>
      <c r="J22" s="6" t="inlineStr">
        <is>
          <t>SoC Fmax</t>
        </is>
      </c>
      <c r="K22" s="6" t="inlineStr">
        <is>
          <t>SoC Total On-Chip Power</t>
        </is>
      </c>
      <c r="L22" s="10" t="inlineStr">
        <is>
          <t>Dynamic</t>
        </is>
      </c>
      <c r="M22" s="11" t="inlineStr">
        <is>
          <t>Clocks</t>
        </is>
      </c>
      <c r="N22" s="6" t="inlineStr">
        <is>
          <t>Signals</t>
        </is>
      </c>
      <c r="O22" s="6" t="inlineStr">
        <is>
          <t>Logic</t>
        </is>
      </c>
      <c r="P22" s="6" t="inlineStr">
        <is>
          <t>BRAM</t>
        </is>
      </c>
      <c r="Q22" s="6" t="inlineStr">
        <is>
          <t>DSP</t>
        </is>
      </c>
      <c r="R22" s="6" t="inlineStr">
        <is>
          <t>PLL</t>
        </is>
      </c>
      <c r="S22" s="6" t="inlineStr">
        <is>
          <t>I/O</t>
        </is>
      </c>
      <c r="T22" s="12" t="inlineStr">
        <is>
          <t>Device Static</t>
        </is>
      </c>
      <c r="W22" s="14" t="n"/>
      <c r="X22" s="86" t="inlineStr">
        <is>
          <t>SAIF dynamic W</t>
        </is>
      </c>
      <c r="Y22" s="43" t="inlineStr">
        <is>
          <t>SAIF total W</t>
        </is>
      </c>
      <c r="Z22" s="43" t="inlineStr">
        <is>
          <t>vs vectorless</t>
        </is>
      </c>
      <c r="AA22" s="43" t="inlineStr">
        <is>
          <t>nets toggling</t>
        </is>
      </c>
    </row>
    <row r="23" ht="15.75" customHeight="1">
      <c r="B23" s="82" t="inlineStr">
        <is>
          <t>I_5SP</t>
        </is>
      </c>
      <c r="C23" s="45" t="n">
        <v>13504</v>
      </c>
      <c r="D23" s="45" t="n">
        <v>4140</v>
      </c>
      <c r="E23" s="45" t="n">
        <v>1666</v>
      </c>
      <c r="F23" s="45" t="n">
        <v>0</v>
      </c>
      <c r="G23" s="45" t="n">
        <v>0</v>
      </c>
      <c r="H23" s="45" t="n">
        <v>12</v>
      </c>
      <c r="I23" s="45" t="n">
        <v>1</v>
      </c>
      <c r="J23" s="45" t="n">
        <v>45.279</v>
      </c>
      <c r="K23" s="45">
        <f>L23+T23</f>
        <v/>
      </c>
      <c r="L23" s="67">
        <f>M23+N23+O23+P23+Q23+R23+S23</f>
        <v/>
      </c>
      <c r="M23" s="47" t="n">
        <v>0.01</v>
      </c>
      <c r="N23" s="45" t="n">
        <v>0.042</v>
      </c>
      <c r="O23" s="45" t="n">
        <v>0.041</v>
      </c>
      <c r="P23" s="45" t="n">
        <v>0</v>
      </c>
      <c r="Q23" s="45" t="n">
        <v>0</v>
      </c>
      <c r="R23" s="45" t="n">
        <v>0.103</v>
      </c>
      <c r="S23" s="45" t="n">
        <v>0.001</v>
      </c>
      <c r="T23" s="48" t="n">
        <v>0.152</v>
      </c>
      <c r="U23" s="75" t="inlineStr">
        <is>
          <t>2026-09-16: from project RV32I_5SP_Coremark, which holds ONLY this benchmark. Utilisation, timing and power all come from that one implementation, built from scratch with incremental implementation disabled. Core clock is the MMCM's exact output 100*M/(D*O) = 45.000000 MHz, and the benchmark image is compiled for that same frequency. WNS +0.137 ns, closes at 45.28 MHz.  ||  SAIF: activity-based dynamic 0.233 W vs vectorless 0.181 W (+28.7%); post-implementation netlist simulation without SDF, so glitch power is excluded; 73.0% of nets toggling in the captured window</t>
        </is>
      </c>
      <c r="X23" s="14" t="n">
        <v>0.233</v>
      </c>
      <c r="Y23" s="14" t="n">
        <v>0.385</v>
      </c>
      <c r="Z23" s="49" t="n">
        <v>0.287</v>
      </c>
      <c r="AA23" s="50" t="n">
        <v>0.7301</v>
      </c>
    </row>
    <row r="24" ht="15.75" customHeight="1">
      <c r="B24" s="83" t="inlineStr">
        <is>
          <t>IM_5SP</t>
        </is>
      </c>
      <c r="C24" s="52" t="n">
        <v>13983</v>
      </c>
      <c r="D24" s="52" t="n">
        <v>4140</v>
      </c>
      <c r="E24" s="52" t="n">
        <v>2173</v>
      </c>
      <c r="F24" s="52" t="n">
        <v>0</v>
      </c>
      <c r="G24" s="52" t="n">
        <v>4</v>
      </c>
      <c r="H24" s="52" t="n">
        <v>12</v>
      </c>
      <c r="I24" s="52" t="n">
        <v>1</v>
      </c>
      <c r="J24" s="52" t="n">
        <v>43.128</v>
      </c>
      <c r="K24" s="45">
        <f>L24+T24</f>
        <v/>
      </c>
      <c r="L24" s="67">
        <f>M24+N24+O24+P24+Q24+R24+S24</f>
        <v/>
      </c>
      <c r="M24" s="53" t="n">
        <v>0.008999999999999999</v>
      </c>
      <c r="N24" s="52" t="n">
        <v>0.04</v>
      </c>
      <c r="O24" s="52" t="n">
        <v>0.039</v>
      </c>
      <c r="P24" s="52" t="n">
        <v>0</v>
      </c>
      <c r="Q24" s="52" t="n">
        <v>0</v>
      </c>
      <c r="R24" s="52" t="n">
        <v>0.1</v>
      </c>
      <c r="S24" s="52" t="n">
        <v>0</v>
      </c>
      <c r="T24" s="54" t="n">
        <v>0.152</v>
      </c>
      <c r="U24" s="24" t="inlineStr">
        <is>
          <t>2026-09-16: from project RV32IM_5SP_Coremark, which holds ONLY this benchmark. Utilisation, timing and power all come from that one implementation, built from scratch with incremental implementation disabled. Core clock is the MMCM's exact output 100*M/(D*O) = 43.000000 MHz, and the benchmark image is compiled for that same frequency. WNS +0.069 ns, closes at 43.13 MHz.  ||  SAIF: activity-based dynamic 0.220 W vs vectorless 0.189 W (+16.4%); post-implementation netlist simulation without SDF, so glitch power is excluded; 70.3% of nets toggling in the captured window</t>
        </is>
      </c>
      <c r="V24" s="14" t="n"/>
      <c r="X24" s="14" t="n">
        <v>0.22</v>
      </c>
      <c r="Y24" s="14" t="n">
        <v>0.372</v>
      </c>
      <c r="Z24" s="49" t="n">
        <v>0.164</v>
      </c>
      <c r="AA24" s="50" t="n">
        <v>0.7030999999999999</v>
      </c>
    </row>
    <row r="25" ht="15.75" customHeight="1">
      <c r="B25" s="83" t="inlineStr">
        <is>
          <t>IM_6SP</t>
        </is>
      </c>
      <c r="C25" s="52" t="n">
        <v>14180</v>
      </c>
      <c r="D25" s="52" t="n">
        <v>4140</v>
      </c>
      <c r="E25" s="52" t="n">
        <v>2464</v>
      </c>
      <c r="F25" s="52" t="n">
        <v>0</v>
      </c>
      <c r="G25" s="52" t="n">
        <v>4</v>
      </c>
      <c r="H25" s="52" t="n">
        <v>12</v>
      </c>
      <c r="I25" s="52" t="n">
        <v>1</v>
      </c>
      <c r="J25" s="52" t="n">
        <v>50.07</v>
      </c>
      <c r="K25" s="45">
        <f>L25+T25</f>
        <v/>
      </c>
      <c r="L25" s="67">
        <f>M25+N25+O25+P25+Q25+R25+S25</f>
        <v/>
      </c>
      <c r="M25" s="53" t="n">
        <v>0.012</v>
      </c>
      <c r="N25" s="52" t="n">
        <v>0.033</v>
      </c>
      <c r="O25" s="52" t="n">
        <v>0.038</v>
      </c>
      <c r="P25" s="52" t="n">
        <v>0</v>
      </c>
      <c r="Q25" s="52" t="n">
        <v>0</v>
      </c>
      <c r="R25" s="52" t="n">
        <v>0.099</v>
      </c>
      <c r="S25" s="52" t="n">
        <v>0.001</v>
      </c>
      <c r="T25" s="54" t="n">
        <v>0.152</v>
      </c>
      <c r="U25" s="64" t="inlineStr">
        <is>
          <t>2026-09-16: from project RV32IM_6SP_Coremark, which holds ONLY this benchmark. Utilisation, timing and power all come from that one implementation, built from scratch with incremental implementation disabled. Core clock is the MMCM's exact output 100*M/(D*O) = 50.000000 MHz, and the benchmark image is compiled for that same frequency. WNS +0.028 ns, closes at 50.07 MHz.  ||  SAIF: activity-based dynamic 0.237 W vs vectorless 0.183 W (+29.5%); post-implementation netlist simulation without SDF, so glitch power is excluded; 70.2% of nets toggling in the captured window</t>
        </is>
      </c>
      <c r="V25" s="14" t="n"/>
      <c r="X25" s="14" t="n">
        <v>0.237</v>
      </c>
      <c r="Y25" s="14" t="n">
        <v>0.389</v>
      </c>
      <c r="Z25" s="49" t="n">
        <v>0.295</v>
      </c>
      <c r="AA25" s="50" t="n">
        <v>0.7016</v>
      </c>
    </row>
    <row r="26" ht="15.75" customHeight="1">
      <c r="B26" s="83" t="inlineStr">
        <is>
          <t>IM_7SP</t>
        </is>
      </c>
      <c r="C26" s="52" t="n">
        <v>10450</v>
      </c>
      <c r="D26" s="52" t="n">
        <v>4140</v>
      </c>
      <c r="E26" s="52" t="n">
        <v>2693</v>
      </c>
      <c r="F26" s="52" t="n">
        <v>8</v>
      </c>
      <c r="G26" s="52" t="n">
        <v>4</v>
      </c>
      <c r="H26" s="52" t="n">
        <v>12</v>
      </c>
      <c r="I26" s="52" t="n">
        <v>1</v>
      </c>
      <c r="J26" s="52" t="n">
        <v>57.606</v>
      </c>
      <c r="K26" s="45">
        <f>L26+T26</f>
        <v/>
      </c>
      <c r="L26" s="67">
        <f>M26+N26+O26+P26+Q26+R26+S26</f>
        <v/>
      </c>
      <c r="M26" s="53" t="n">
        <v>0.013</v>
      </c>
      <c r="N26" s="52" t="n">
        <v>0.018</v>
      </c>
      <c r="O26" s="52" t="n">
        <v>0.024</v>
      </c>
      <c r="P26" s="52" t="n">
        <v>0.007</v>
      </c>
      <c r="Q26" s="52" t="n">
        <v>0</v>
      </c>
      <c r="R26" s="52" t="n">
        <v>0.103</v>
      </c>
      <c r="S26" s="52" t="n">
        <v>0.001</v>
      </c>
      <c r="T26" s="54" t="n">
        <v>0.152</v>
      </c>
      <c r="U26" s="24" t="inlineStr">
        <is>
          <t>2026-09-16: from project RV32IM_7SP_Coremark, which holds ONLY this benchmark. Utilisation, timing and power all come from that one implementation, built from scratch with incremental implementation disabled. Core clock is the MMCM's exact output 100*M/(D*O) = 57.500000 MHz, and the benchmark image is compiled for that same frequency. WNS +0.032 ns, closes at 57.61 MHz.  ||  SAIF: activity-based dynamic 0.219 W vs vectorless 0.197 W (+11.2%); post-implementation netlist simulation without SDF, so glitch power is excluded; 66.2% of nets toggling in the captured window</t>
        </is>
      </c>
      <c r="V26" s="14" t="n"/>
      <c r="X26" s="14" t="n">
        <v>0.219</v>
      </c>
      <c r="Y26" s="14" t="n">
        <v>0.371</v>
      </c>
      <c r="Z26" s="49" t="n">
        <v>0.112</v>
      </c>
      <c r="AA26" s="50" t="n">
        <v>0.6617</v>
      </c>
    </row>
    <row r="27" ht="15.75" customHeight="1">
      <c r="B27" s="25" t="inlineStr">
        <is>
          <t>IM_7SP_BRAM</t>
        </is>
      </c>
      <c r="C27" s="52" t="n">
        <v>3127</v>
      </c>
      <c r="D27" s="52" t="n">
        <v>44</v>
      </c>
      <c r="E27" s="52" t="n">
        <v>2222</v>
      </c>
      <c r="F27" s="52" t="n">
        <v>16</v>
      </c>
      <c r="G27" s="52" t="n">
        <v>4</v>
      </c>
      <c r="H27" s="52" t="n">
        <v>12</v>
      </c>
      <c r="I27" s="52" t="n">
        <v>1</v>
      </c>
      <c r="J27" s="52" t="n">
        <v>72.07299999999999</v>
      </c>
      <c r="K27" s="45">
        <f>L27+T27</f>
        <v/>
      </c>
      <c r="L27" s="67">
        <f>M27+N27+O27+P27+Q27+R27+S27</f>
        <v/>
      </c>
      <c r="M27" s="53" t="n">
        <v>0.011</v>
      </c>
      <c r="N27" s="52" t="n">
        <v>0.008</v>
      </c>
      <c r="O27" s="52" t="n">
        <v>0.004</v>
      </c>
      <c r="P27" s="52" t="n">
        <v>0.028</v>
      </c>
      <c r="Q27" s="52" t="n">
        <v>0</v>
      </c>
      <c r="R27" s="52" t="n">
        <v>0.113</v>
      </c>
      <c r="S27" s="52" t="n">
        <v>0.002</v>
      </c>
      <c r="T27" s="54" t="n">
        <v>0.152</v>
      </c>
      <c r="U27" s="24" t="inlineStr">
        <is>
          <t>2026-09-16: from project RV32IM_7SP_BRAM_Coremark, which holds ONLY this benchmark. Utilisation, timing and power all come from that one implementation, built from scratch with incremental implementation disabled. Core clock is the MMCM's exact output 100*M/(D*O) = 72.000000 MHz, and the benchmark image is compiled for that same frequency. WNS +0.014 ns, closes at 72.07 MHz.  ||  SAIF: activity-based dynamic 0.182 W vs vectorless 0.166 W (+9.6%); post-implementation netlist simulation without SDF, so glitch power is excluded; 50.1% of nets toggling in the captured window</t>
        </is>
      </c>
      <c r="V27" s="14" t="n"/>
      <c r="X27" s="14" t="n">
        <v>0.182</v>
      </c>
      <c r="Y27" s="14" t="n">
        <v>0.335</v>
      </c>
      <c r="Z27" s="49" t="n">
        <v>0.096</v>
      </c>
      <c r="AA27" s="50" t="n">
        <v>0.5006</v>
      </c>
    </row>
    <row r="28" ht="15.75" customHeight="1">
      <c r="B28" s="25" t="inlineStr">
        <is>
          <t>IM_7SP_BRAM_Opt</t>
        </is>
      </c>
      <c r="C28" s="52" t="n">
        <v>2719</v>
      </c>
      <c r="D28" s="52" t="n">
        <v>44</v>
      </c>
      <c r="E28" s="52" t="n">
        <v>1923</v>
      </c>
      <c r="F28" s="52" t="n">
        <v>16</v>
      </c>
      <c r="G28" s="52" t="n">
        <v>4</v>
      </c>
      <c r="H28" s="52" t="n">
        <v>12</v>
      </c>
      <c r="I28" s="52" t="n">
        <v>1</v>
      </c>
      <c r="J28" s="52" t="n">
        <v>92.14400000000001</v>
      </c>
      <c r="K28" s="45">
        <f>L28+T28</f>
        <v/>
      </c>
      <c r="L28" s="67">
        <f>M28+N28+O28+P28+Q28+R28+S28</f>
        <v/>
      </c>
      <c r="M28" s="53" t="n">
        <v>0.011</v>
      </c>
      <c r="N28" s="52" t="n">
        <v>0.007</v>
      </c>
      <c r="O28" s="52" t="n">
        <v>0.003</v>
      </c>
      <c r="P28" s="52" t="n">
        <v>0.034</v>
      </c>
      <c r="Q28" s="52" t="n">
        <v>0</v>
      </c>
      <c r="R28" s="52" t="n">
        <v>0.103</v>
      </c>
      <c r="S28" s="52" t="n">
        <v>0.002</v>
      </c>
      <c r="T28" s="54" t="n">
        <v>0.152</v>
      </c>
      <c r="U28" s="55" t="inlineStr">
        <is>
          <t>2026-09-16: from project RV32IM_7SP_BRAM_Opt_Coremark, which holds ONLY this benchmark. Utilisation, timing and power all come from that one implementation, built from scratch with incremental implementation disabled. Core clock is the MMCM's exact output 100*M/(D*O) = 92.000000 MHz, and the benchmark image is compiled for that same frequency. WNS +0.017 ns, closes at 92.14 MHz.  ||  SAIF: activity-based dynamic 0.171 W vs vectorless 0.160 W (+6.9%); post-implementation netlist simulation without SDF, so glitch power is excluded; 62.4% of nets toggling in the captured window</t>
        </is>
      </c>
      <c r="V28" s="14" t="n"/>
      <c r="X28" s="14" t="n">
        <v>0.171</v>
      </c>
      <c r="Y28" s="14" t="n">
        <v>0.323</v>
      </c>
      <c r="Z28" s="49" t="n">
        <v>0.06900000000000001</v>
      </c>
      <c r="AA28" s="50" t="n">
        <v>0.6235000000000001</v>
      </c>
    </row>
    <row r="29" ht="15.75" customHeight="1">
      <c r="B29" s="87" t="inlineStr">
        <is>
          <t>IM_8SP_withoutOpt</t>
        </is>
      </c>
      <c r="C29" s="52" t="n">
        <v>3332</v>
      </c>
      <c r="D29" s="52" t="n">
        <v>44</v>
      </c>
      <c r="E29" s="52" t="n">
        <v>2595</v>
      </c>
      <c r="F29" s="52" t="n">
        <v>16</v>
      </c>
      <c r="G29" s="52" t="n">
        <v>4</v>
      </c>
      <c r="H29" s="52" t="n">
        <v>12</v>
      </c>
      <c r="I29" s="52" t="n">
        <v>1</v>
      </c>
      <c r="J29" s="52" t="n">
        <v>114.3</v>
      </c>
      <c r="K29" s="45">
        <f>L29+T29</f>
        <v/>
      </c>
      <c r="L29" s="67">
        <f>M29+N29+O29+P29+Q29+R29+S29</f>
        <v/>
      </c>
      <c r="M29" s="53" t="n">
        <v>0.014</v>
      </c>
      <c r="N29" s="52" t="n">
        <v>0.013</v>
      </c>
      <c r="O29" s="52" t="n">
        <v>0.005</v>
      </c>
      <c r="P29" s="52" t="n">
        <v>0.04</v>
      </c>
      <c r="Q29" s="52" t="n">
        <v>0</v>
      </c>
      <c r="R29" s="52" t="n">
        <v>0.117</v>
      </c>
      <c r="S29" s="52" t="n">
        <v>0.002</v>
      </c>
      <c r="T29" s="54" t="n">
        <v>0.153</v>
      </c>
      <c r="U29" s="55" t="inlineStr">
        <is>
          <t>2026-09-16: from project RV32IM_8SP_withoutOpt_Coremark, which holds ONLY this benchmark. Utilisation, timing and power all come from that one implementation, built from scratch with incremental implementation disabled. Core clock is the MMCM's exact output 100*M/(D*O) = 114.000000 MHz, and the benchmark image is compiled for that same frequency. WNS +0.023 ns, closes at 114.30 MHz.  ||  SAIF: activity-based dynamic 0.206 W vs vectorless 0.192 W (+7.3%); post-implementation netlist simulation without SDF, so glitch power is excluded; 62.8% of nets toggling in the captured window</t>
        </is>
      </c>
      <c r="V29" s="14" t="n"/>
      <c r="X29" s="14" t="n">
        <v>0.206</v>
      </c>
      <c r="Y29" s="14" t="n">
        <v>0.358</v>
      </c>
      <c r="Z29" s="49" t="n">
        <v>0.073</v>
      </c>
      <c r="AA29" s="50" t="n">
        <v>0.6284</v>
      </c>
    </row>
    <row r="30" ht="15.75" customHeight="1">
      <c r="B30" s="37" t="inlineStr">
        <is>
          <t>IM_8SP</t>
        </is>
      </c>
      <c r="C30" s="59" t="n">
        <v>2869</v>
      </c>
      <c r="D30" s="59" t="n">
        <v>44</v>
      </c>
      <c r="E30" s="59" t="n">
        <v>2351</v>
      </c>
      <c r="F30" s="59" t="n">
        <v>16</v>
      </c>
      <c r="G30" s="59" t="n">
        <v>4</v>
      </c>
      <c r="H30" s="59" t="n">
        <v>12</v>
      </c>
      <c r="I30" s="59" t="n">
        <v>1</v>
      </c>
      <c r="J30" s="59" t="n">
        <v>122.179</v>
      </c>
      <c r="K30" s="60">
        <f>L30+T30</f>
        <v/>
      </c>
      <c r="L30" s="67">
        <f>M30+N30+O30+P30+Q30+R30+S30</f>
        <v/>
      </c>
      <c r="M30" s="62" t="n">
        <v>0.014</v>
      </c>
      <c r="N30" s="59" t="n">
        <v>0.011</v>
      </c>
      <c r="O30" s="59" t="n">
        <v>0.005</v>
      </c>
      <c r="P30" s="59" t="n">
        <v>0.037</v>
      </c>
      <c r="Q30" s="59" t="n">
        <v>0</v>
      </c>
      <c r="R30" s="59" t="n">
        <v>0.122</v>
      </c>
      <c r="S30" s="59" t="n">
        <v>0.002</v>
      </c>
      <c r="T30" s="63" t="n">
        <v>0.136</v>
      </c>
      <c r="U30" s="24" t="inlineStr">
        <is>
          <t>2026-09-16: from project RV32IM_8SP_Coremark, which holds ONLY this benchmark. Utilisation, timing and power all come from that one implementation, built from scratch with incremental implementation disabled. Core clock is the MMCM's exact output 100*M/(D*O) = 122.000000 MHz, and the benchmark image is compiled for that same frequency. WNS +0.012 ns, closes at 122.18 MHz.  ||  SAIF: activity-based dynamic 0.204 W vs vectorless 0.191 W (+6.8%); post-implementation netlist simulation without SDF, so glitch power is excluded; 61.8% of nets toggling in the captured window</t>
        </is>
      </c>
      <c r="V30" s="14" t="n"/>
      <c r="X30" s="14" t="n">
        <v>0.204</v>
      </c>
      <c r="Y30" s="14" t="n">
        <v>0.34</v>
      </c>
      <c r="Z30" s="49" t="n">
        <v>0.068</v>
      </c>
      <c r="AA30" s="50" t="n">
        <v>0.6179</v>
      </c>
    </row>
    <row r="31" ht="15.75" customHeight="1">
      <c r="U31" s="14" t="n"/>
      <c r="V31" s="14" t="n"/>
    </row>
    <row r="32" ht="15.75" customHeight="1">
      <c r="C32" s="14" t="n"/>
      <c r="D32" s="14" t="n"/>
      <c r="E32" s="14" t="n"/>
      <c r="F32" s="14" t="n"/>
      <c r="G32" s="14" t="n"/>
      <c r="H32" s="14" t="n"/>
      <c r="I32" s="14" t="n"/>
      <c r="J32" s="14" t="n"/>
      <c r="K32" s="14" t="n"/>
      <c r="L32" s="14" t="n"/>
      <c r="M32" s="14" t="n"/>
      <c r="N32" s="14" t="n"/>
      <c r="O32" s="14" t="n"/>
      <c r="P32" s="14" t="n"/>
      <c r="Q32" s="14" t="n"/>
      <c r="R32" s="14" t="n"/>
      <c r="S32" s="14" t="n"/>
    </row>
    <row r="33" ht="15.75" customHeight="1">
      <c r="B33" s="86" t="inlineStr">
        <is>
          <t>Legend</t>
        </is>
      </c>
      <c r="C33" s="14" t="n"/>
      <c r="D33" s="14" t="n"/>
      <c r="E33" s="14" t="n"/>
      <c r="F33" s="14" t="n"/>
      <c r="G33" s="14" t="n"/>
      <c r="H33" s="14" t="n"/>
      <c r="I33" s="14" t="n"/>
      <c r="J33" s="14" t="n"/>
      <c r="K33" s="14" t="n"/>
      <c r="L33" s="14" t="n"/>
      <c r="M33" s="14" t="n"/>
      <c r="N33" s="14" t="n"/>
      <c r="O33" s="14" t="n"/>
      <c r="P33" s="14" t="n"/>
      <c r="Q33" s="14" t="n"/>
      <c r="R33" s="14" t="n"/>
      <c r="S33" s="14" t="n"/>
    </row>
    <row r="34" ht="15.75" customHeight="1">
      <c r="B34" s="88" t="inlineStr">
        <is>
          <t>amber cells</t>
        </is>
      </c>
      <c r="C34" s="14" t="inlineStr">
        <is>
          <t>NEEDS REVIEW: not re-implemented after the RISCOF RTL fixes; values are from the pre-fix RTL</t>
        </is>
      </c>
      <c r="D34" s="14" t="n"/>
      <c r="E34" s="14" t="n"/>
      <c r="F34" s="14" t="n"/>
      <c r="G34" s="14" t="n"/>
      <c r="H34" s="14" t="n"/>
      <c r="I34" s="14" t="n"/>
      <c r="J34" s="14" t="n"/>
      <c r="K34" s="14" t="n"/>
      <c r="L34" s="14" t="n"/>
      <c r="M34" s="14" t="n"/>
      <c r="N34" s="14" t="n"/>
      <c r="O34" s="14" t="n"/>
      <c r="P34" s="14" t="n"/>
      <c r="Q34" s="14" t="n"/>
      <c r="R34" s="14" t="n"/>
      <c r="S34" s="14" t="n"/>
    </row>
    <row r="35" ht="15.75" customHeight="1">
      <c r="B35" s="89" t="inlineStr">
        <is>
          <t>red Fmax</t>
        </is>
      </c>
      <c r="C35" s="14" t="inlineStr">
        <is>
          <t>timing NOT met at the PLL-set frequency (negative setup WNS); see note in column U</t>
        </is>
      </c>
      <c r="D35" s="14" t="n"/>
      <c r="E35" s="14" t="n"/>
      <c r="F35" s="14" t="n"/>
      <c r="G35" s="14" t="n"/>
      <c r="H35" s="14" t="n"/>
      <c r="I35" s="14" t="n"/>
      <c r="J35" s="14" t="n"/>
      <c r="K35" s="14" t="n"/>
      <c r="L35" s="14" t="n"/>
      <c r="M35" s="14" t="n"/>
      <c r="N35" s="14" t="n"/>
      <c r="O35" s="14" t="n"/>
      <c r="P35" s="14" t="n"/>
      <c r="Q35" s="14" t="n"/>
      <c r="R35" s="14" t="n"/>
      <c r="S35" s="14" t="n"/>
    </row>
    <row r="36" ht="15.75" customHeight="1">
      <c r="C36" s="14" t="inlineStr">
        <is>
          <t>unshaded rows: re-implemented 2026-09-01 on the RISCOF-verified RTL</t>
        </is>
      </c>
      <c r="D36" s="14" t="n"/>
      <c r="E36" s="14" t="n"/>
      <c r="F36" s="14" t="n"/>
      <c r="G36" s="14" t="n"/>
      <c r="H36" s="14" t="n"/>
      <c r="I36" s="14" t="n"/>
      <c r="J36" s="14" t="n"/>
      <c r="K36" s="14" t="n"/>
      <c r="L36" s="14" t="n"/>
      <c r="M36" s="14" t="n"/>
      <c r="N36" s="14" t="n"/>
      <c r="O36" s="14" t="n"/>
      <c r="P36" s="14" t="n"/>
      <c r="Q36" s="14" t="n"/>
      <c r="R36" s="14" t="n"/>
      <c r="S36" s="14" t="n"/>
    </row>
    <row r="37" ht="15.75" customHeight="1">
      <c r="C37" s="14" t="inlineStr">
        <is>
          <t>core block (rows 3-10): area + Fmax post-synthesis at the 5 ns constraint; power is POST-SYNTHESIS (routing estimated), so it is not directly comparable to the SoC post-route power below</t>
        </is>
      </c>
      <c r="D37" s="14" t="n"/>
      <c r="E37" s="14" t="n"/>
      <c r="F37" s="14" t="n"/>
      <c r="G37" s="14" t="n"/>
      <c r="H37" s="14" t="n"/>
      <c r="I37" s="14" t="n"/>
      <c r="J37" s="14" t="n"/>
      <c r="K37" s="14" t="n"/>
      <c r="L37" s="14" t="n"/>
      <c r="M37" s="14" t="n"/>
      <c r="N37" s="14" t="n"/>
      <c r="O37" s="14" t="n"/>
      <c r="P37" s="14" t="n"/>
      <c r="Q37" s="14" t="n"/>
      <c r="R37" s="14" t="n"/>
      <c r="S37" s="14" t="n"/>
    </row>
    <row r="38" ht="15.75" customHeight="1">
      <c r="B38" s="90" t="inlineStr">
        <is>
          <t>blue Fmax</t>
        </is>
      </c>
      <c r="C38" s="14" t="inlineStr">
        <is>
          <t>timing met with &gt;1 MHz of headroom - the design runs faster than the benchmark image was built for; a higher-frequency .mem would use it</t>
        </is>
      </c>
      <c r="D38" s="14" t="n"/>
      <c r="E38" s="14" t="n"/>
      <c r="F38" s="14" t="n"/>
      <c r="G38" s="14" t="n"/>
      <c r="H38" s="14" t="n"/>
      <c r="I38" s="14" t="n"/>
      <c r="J38" s="14" t="n"/>
      <c r="K38" s="14" t="n"/>
      <c r="L38" s="14" t="n"/>
      <c r="M38" s="14" t="n"/>
      <c r="N38" s="14" t="n"/>
      <c r="O38" s="14" t="n"/>
      <c r="P38" s="14" t="n"/>
      <c r="Q38" s="14" t="n"/>
      <c r="R38" s="14" t="n"/>
      <c r="S38" s="14" t="n"/>
    </row>
    <row r="39" ht="15.75" customHeight="1">
      <c r="C39" s="14" t="n"/>
      <c r="D39" s="14" t="n"/>
      <c r="E39" s="14" t="n"/>
      <c r="F39" s="14" t="n"/>
      <c r="G39" s="14" t="n"/>
      <c r="H39" s="14" t="n"/>
      <c r="I39" s="14" t="n"/>
      <c r="J39" s="14" t="n"/>
      <c r="K39" s="14" t="n"/>
      <c r="L39" s="14" t="n"/>
      <c r="M39" s="14" t="n"/>
      <c r="N39" s="14" t="n"/>
      <c r="O39" s="14" t="n"/>
      <c r="P39" s="14" t="n"/>
      <c r="Q39" s="14" t="n"/>
      <c r="R39" s="14" t="n"/>
      <c r="S39" s="14" t="n"/>
    </row>
    <row r="40" ht="15.75" customHeight="1">
      <c r="C40" s="14" t="n"/>
      <c r="D40" s="14" t="n"/>
      <c r="E40" s="14" t="n"/>
      <c r="F40" s="14" t="n"/>
      <c r="G40" s="14" t="n"/>
      <c r="H40" s="14" t="n"/>
      <c r="I40" s="14" t="n"/>
      <c r="J40" s="14" t="n"/>
      <c r="K40" s="14" t="n"/>
      <c r="L40" s="14" t="n"/>
      <c r="M40" s="14" t="n"/>
      <c r="N40" s="14" t="n"/>
      <c r="O40" s="14" t="n"/>
      <c r="P40" s="14" t="n"/>
      <c r="Q40" s="14" t="n"/>
      <c r="R40" s="14" t="n"/>
      <c r="S40" s="14" t="n"/>
    </row>
    <row r="41" ht="15.75" customHeight="1">
      <c r="C41" s="14" t="n"/>
      <c r="D41" s="14" t="n"/>
      <c r="E41" s="14" t="n"/>
      <c r="F41" s="14" t="n"/>
      <c r="G41" s="14" t="n"/>
      <c r="H41" s="14" t="n"/>
      <c r="I41" s="14" t="n"/>
      <c r="J41" s="14" t="n"/>
      <c r="K41" s="14" t="n"/>
      <c r="L41" s="14" t="n"/>
      <c r="M41" s="14" t="n"/>
      <c r="N41" s="14" t="n"/>
      <c r="O41" s="14" t="n"/>
      <c r="P41" s="14" t="n"/>
      <c r="Q41" s="14" t="n"/>
      <c r="R41" s="14" t="n"/>
      <c r="S41" s="14" t="n"/>
    </row>
    <row r="42" ht="15.75" customHeight="1">
      <c r="C42" s="14" t="n"/>
      <c r="D42" s="14" t="n"/>
      <c r="E42" s="14" t="n"/>
      <c r="F42" s="14" t="n"/>
      <c r="G42" s="14" t="n"/>
      <c r="H42" s="14" t="n"/>
      <c r="I42" s="14" t="n"/>
      <c r="J42" s="14" t="n"/>
      <c r="K42" s="14" t="n"/>
      <c r="L42" s="14" t="n"/>
      <c r="M42" s="14" t="n"/>
      <c r="N42" s="14" t="n"/>
      <c r="O42" s="14" t="n"/>
      <c r="P42" s="14" t="n"/>
      <c r="Q42" s="14" t="n"/>
      <c r="R42" s="14" t="n"/>
      <c r="S42" s="14" t="n"/>
    </row>
    <row r="43" ht="15.75" customHeight="1">
      <c r="C43" s="14" t="n"/>
      <c r="D43" s="14" t="n"/>
      <c r="E43" s="14" t="n"/>
      <c r="F43" s="14" t="n"/>
      <c r="G43" s="14" t="n"/>
      <c r="H43" s="14" t="n"/>
      <c r="I43" s="14" t="n"/>
      <c r="J43" s="14" t="n"/>
      <c r="K43" s="14" t="n"/>
      <c r="L43" s="14" t="n"/>
      <c r="M43" s="14" t="n"/>
      <c r="N43" s="14" t="n"/>
      <c r="O43" s="14" t="n"/>
      <c r="P43" s="14" t="n"/>
      <c r="Q43" s="14" t="n"/>
      <c r="R43" s="14" t="n"/>
      <c r="S43" s="14" t="n"/>
    </row>
    <row r="44" ht="15.75" customHeight="1">
      <c r="C44" s="14" t="n"/>
      <c r="D44" s="14" t="n"/>
      <c r="E44" s="14" t="n"/>
      <c r="F44" s="14" t="n"/>
      <c r="G44" s="14" t="n"/>
      <c r="H44" s="14" t="n"/>
      <c r="I44" s="14" t="n"/>
      <c r="J44" s="14" t="n"/>
      <c r="K44" s="14" t="n"/>
      <c r="L44" s="14" t="n"/>
      <c r="M44" s="14" t="n"/>
      <c r="N44" s="14" t="n"/>
      <c r="O44" s="14" t="n"/>
      <c r="P44" s="14" t="n"/>
      <c r="Q44" s="14" t="n"/>
      <c r="R44" s="14" t="n"/>
      <c r="S44" s="14" t="n"/>
    </row>
    <row r="45" ht="15.75" customHeight="1">
      <c r="C45" s="14" t="n"/>
      <c r="D45" s="14" t="n"/>
      <c r="E45" s="14" t="n"/>
      <c r="F45" s="14" t="n"/>
      <c r="G45" s="14" t="n"/>
      <c r="H45" s="14" t="n"/>
      <c r="I45" s="14" t="n"/>
      <c r="J45" s="14" t="n"/>
      <c r="K45" s="14" t="n"/>
      <c r="L45" s="14" t="n"/>
      <c r="M45" s="14" t="n"/>
      <c r="N45" s="14" t="n"/>
      <c r="O45" s="14" t="n"/>
      <c r="P45" s="14" t="n"/>
      <c r="Q45" s="14" t="n"/>
      <c r="R45" s="14" t="n"/>
      <c r="S45" s="14" t="n"/>
    </row>
    <row r="46" ht="15.75" customHeight="1">
      <c r="C46" s="14" t="n"/>
      <c r="D46" s="14" t="n"/>
      <c r="E46" s="14" t="n"/>
      <c r="F46" s="14" t="n"/>
      <c r="G46" s="14" t="n"/>
      <c r="H46" s="14" t="n"/>
      <c r="I46" s="14" t="n"/>
      <c r="J46" s="14" t="n"/>
      <c r="K46" s="14" t="n"/>
      <c r="L46" s="14" t="n"/>
      <c r="M46" s="14" t="n"/>
      <c r="N46" s="14" t="n"/>
      <c r="O46" s="14" t="n"/>
      <c r="P46" s="14" t="n"/>
      <c r="Q46" s="14" t="n"/>
      <c r="R46" s="14" t="n"/>
      <c r="S46" s="14" t="n"/>
    </row>
    <row r="47" ht="15.75" customHeight="1">
      <c r="C47" s="14" t="n"/>
      <c r="D47" s="14" t="n"/>
      <c r="E47" s="14" t="n"/>
      <c r="F47" s="14" t="n"/>
      <c r="G47" s="14" t="n"/>
      <c r="H47" s="14" t="n"/>
      <c r="I47" s="14" t="n"/>
      <c r="J47" s="14" t="n"/>
      <c r="K47" s="14" t="n"/>
      <c r="L47" s="14" t="n"/>
      <c r="M47" s="14" t="n"/>
      <c r="N47" s="14" t="n"/>
      <c r="O47" s="14" t="n"/>
      <c r="P47" s="14" t="n"/>
      <c r="Q47" s="14" t="n"/>
      <c r="R47" s="14" t="n"/>
      <c r="S47" s="14" t="n"/>
    </row>
    <row r="48" ht="15.75" customHeight="1">
      <c r="C48" s="14" t="n"/>
      <c r="D48" s="14" t="n"/>
      <c r="E48" s="14" t="n"/>
      <c r="F48" s="14" t="n"/>
      <c r="G48" s="14" t="n"/>
      <c r="H48" s="14" t="n"/>
      <c r="I48" s="14" t="n"/>
      <c r="J48" s="14" t="n"/>
      <c r="K48" s="14" t="n"/>
      <c r="L48" s="14" t="n"/>
      <c r="M48" s="14" t="n"/>
      <c r="N48" s="14" t="n"/>
      <c r="O48" s="14" t="n"/>
      <c r="P48" s="14" t="n"/>
      <c r="Q48" s="14" t="n"/>
      <c r="R48" s="14" t="n"/>
      <c r="S48" s="14" t="n"/>
    </row>
    <row r="49" ht="15.75" customHeight="1">
      <c r="C49" s="14" t="n"/>
      <c r="D49" s="14" t="n"/>
      <c r="E49" s="14" t="n"/>
      <c r="F49" s="14" t="n"/>
      <c r="G49" s="14" t="n"/>
      <c r="H49" s="14" t="n"/>
      <c r="I49" s="14" t="n"/>
      <c r="J49" s="14" t="n"/>
      <c r="K49" s="14" t="n"/>
      <c r="L49" s="14" t="n"/>
      <c r="M49" s="14" t="n"/>
      <c r="N49" s="14" t="n"/>
      <c r="O49" s="14" t="n"/>
      <c r="P49" s="14" t="n"/>
      <c r="Q49" s="14" t="n"/>
      <c r="R49" s="14" t="n"/>
      <c r="S49" s="14" t="n"/>
    </row>
    <row r="50" ht="15.75" customHeight="1">
      <c r="C50" s="14" t="n"/>
      <c r="D50" s="14" t="n"/>
      <c r="E50" s="14" t="n"/>
      <c r="F50" s="14" t="n"/>
      <c r="G50" s="14" t="n"/>
      <c r="H50" s="14" t="n"/>
      <c r="I50" s="14" t="n"/>
      <c r="J50" s="14" t="n"/>
      <c r="K50" s="14" t="n"/>
      <c r="L50" s="14" t="n"/>
      <c r="M50" s="14" t="n"/>
      <c r="N50" s="14" t="n"/>
      <c r="O50" s="14" t="n"/>
      <c r="P50" s="14" t="n"/>
      <c r="Q50" s="14" t="n"/>
      <c r="R50" s="14" t="n"/>
      <c r="S50" s="14" t="n"/>
    </row>
    <row r="51" ht="15.75" customHeight="1">
      <c r="C51" s="14" t="n"/>
      <c r="D51" s="14" t="n"/>
      <c r="E51" s="14" t="n"/>
      <c r="F51" s="14" t="n"/>
      <c r="G51" s="14" t="n"/>
      <c r="H51" s="14" t="n"/>
      <c r="I51" s="14" t="n"/>
      <c r="J51" s="14" t="n"/>
      <c r="K51" s="14" t="n"/>
      <c r="L51" s="14" t="n"/>
      <c r="M51" s="14" t="n"/>
      <c r="N51" s="14" t="n"/>
      <c r="O51" s="14" t="n"/>
      <c r="P51" s="14" t="n"/>
      <c r="Q51" s="14" t="n"/>
      <c r="R51" s="14" t="n"/>
      <c r="S51" s="14" t="n"/>
    </row>
    <row r="52" ht="15.75" customHeight="1">
      <c r="C52" s="14" t="n"/>
      <c r="D52" s="14" t="n"/>
      <c r="E52" s="14" t="n"/>
      <c r="F52" s="14" t="n"/>
      <c r="G52" s="14" t="n"/>
      <c r="H52" s="14" t="n"/>
      <c r="I52" s="14" t="n"/>
      <c r="J52" s="14" t="n"/>
      <c r="K52" s="14" t="n"/>
      <c r="L52" s="14" t="n"/>
      <c r="M52" s="14" t="n"/>
      <c r="N52" s="14" t="n"/>
      <c r="O52" s="14" t="n"/>
      <c r="P52" s="14" t="n"/>
      <c r="Q52" s="14" t="n"/>
      <c r="R52" s="14" t="n"/>
      <c r="S52" s="14" t="n"/>
    </row>
    <row r="53" ht="15.75" customHeight="1">
      <c r="C53" s="14" t="n"/>
      <c r="D53" s="14" t="n"/>
      <c r="E53" s="14" t="n"/>
      <c r="F53" s="14" t="n"/>
      <c r="G53" s="14" t="n"/>
      <c r="H53" s="14" t="n"/>
      <c r="I53" s="14" t="n"/>
      <c r="J53" s="14" t="n"/>
      <c r="K53" s="14" t="n"/>
      <c r="L53" s="14" t="n"/>
      <c r="M53" s="14" t="n"/>
      <c r="N53" s="14" t="n"/>
      <c r="O53" s="14" t="n"/>
      <c r="P53" s="14" t="n"/>
      <c r="Q53" s="14" t="n"/>
      <c r="R53" s="14" t="n"/>
      <c r="S53" s="14" t="n"/>
    </row>
    <row r="54" ht="15.75" customHeight="1">
      <c r="C54" s="14" t="n"/>
      <c r="D54" s="14" t="n"/>
      <c r="E54" s="14" t="n"/>
      <c r="F54" s="14" t="n"/>
      <c r="G54" s="14" t="n"/>
      <c r="H54" s="14" t="n"/>
      <c r="I54" s="14" t="n"/>
      <c r="J54" s="14" t="n"/>
      <c r="K54" s="14" t="n"/>
      <c r="L54" s="14" t="n"/>
      <c r="M54" s="14" t="n"/>
      <c r="N54" s="14" t="n"/>
      <c r="O54" s="14" t="n"/>
      <c r="P54" s="14" t="n"/>
      <c r="Q54" s="14" t="n"/>
      <c r="R54" s="14" t="n"/>
      <c r="S54" s="14" t="n"/>
    </row>
    <row r="55" ht="15.75" customHeight="1">
      <c r="C55" s="14" t="n"/>
      <c r="D55" s="14" t="n"/>
      <c r="E55" s="14" t="n"/>
      <c r="F55" s="14" t="n"/>
      <c r="G55" s="14" t="n"/>
      <c r="H55" s="14" t="n"/>
      <c r="I55" s="14" t="n"/>
      <c r="J55" s="14" t="n"/>
      <c r="K55" s="14" t="n"/>
      <c r="L55" s="14" t="n"/>
      <c r="M55" s="14" t="n"/>
      <c r="N55" s="14" t="n"/>
      <c r="O55" s="14" t="n"/>
      <c r="P55" s="14" t="n"/>
      <c r="Q55" s="14" t="n"/>
      <c r="R55" s="14" t="n"/>
      <c r="S55" s="14" t="n"/>
    </row>
    <row r="56" ht="15.75" customHeight="1">
      <c r="C56" s="14" t="n"/>
      <c r="D56" s="14" t="n"/>
      <c r="E56" s="14" t="n"/>
      <c r="F56" s="14" t="n"/>
      <c r="G56" s="14" t="n"/>
      <c r="H56" s="14" t="n"/>
      <c r="I56" s="14" t="n"/>
      <c r="J56" s="14" t="n"/>
      <c r="K56" s="14" t="n"/>
      <c r="L56" s="14" t="n"/>
      <c r="M56" s="14" t="n"/>
      <c r="N56" s="14" t="n"/>
      <c r="O56" s="14" t="n"/>
      <c r="P56" s="14" t="n"/>
      <c r="Q56" s="14" t="n"/>
      <c r="R56" s="14" t="n"/>
      <c r="S56" s="14" t="n"/>
    </row>
    <row r="57" ht="15.75" customHeight="1">
      <c r="C57" s="14" t="n"/>
      <c r="D57" s="14" t="n"/>
      <c r="E57" s="14" t="n"/>
      <c r="F57" s="14" t="n"/>
      <c r="G57" s="14" t="n"/>
      <c r="H57" s="14" t="n"/>
      <c r="I57" s="14" t="n"/>
      <c r="J57" s="14" t="n"/>
      <c r="K57" s="14" t="n"/>
      <c r="L57" s="14" t="n"/>
      <c r="M57" s="14" t="n"/>
      <c r="N57" s="14" t="n"/>
      <c r="O57" s="14" t="n"/>
      <c r="P57" s="14" t="n"/>
      <c r="Q57" s="14" t="n"/>
      <c r="R57" s="14" t="n"/>
      <c r="S57" s="14" t="n"/>
    </row>
    <row r="58" ht="15.75" customHeight="1">
      <c r="C58" s="14" t="n"/>
      <c r="D58" s="14" t="n"/>
      <c r="E58" s="14" t="n"/>
      <c r="F58" s="14" t="n"/>
      <c r="G58" s="14" t="n"/>
      <c r="H58" s="14" t="n"/>
      <c r="I58" s="14" t="n"/>
      <c r="J58" s="14" t="n"/>
      <c r="K58" s="14" t="n"/>
      <c r="L58" s="14" t="n"/>
      <c r="M58" s="14" t="n"/>
      <c r="N58" s="14" t="n"/>
      <c r="O58" s="14" t="n"/>
      <c r="P58" s="14" t="n"/>
      <c r="Q58" s="14" t="n"/>
      <c r="R58" s="14" t="n"/>
      <c r="S58" s="14" t="n"/>
    </row>
    <row r="59" ht="15.75" customHeight="1">
      <c r="C59" s="14" t="n"/>
      <c r="D59" s="14" t="n"/>
      <c r="E59" s="14" t="n"/>
      <c r="F59" s="14" t="n"/>
      <c r="G59" s="14" t="n"/>
      <c r="H59" s="14" t="n"/>
      <c r="I59" s="14" t="n"/>
      <c r="J59" s="14" t="n"/>
      <c r="K59" s="14" t="n"/>
      <c r="L59" s="14" t="n"/>
      <c r="M59" s="14" t="n"/>
      <c r="N59" s="14" t="n"/>
      <c r="O59" s="14" t="n"/>
      <c r="P59" s="14" t="n"/>
      <c r="Q59" s="14" t="n"/>
      <c r="R59" s="14" t="n"/>
      <c r="S59" s="14" t="n"/>
    </row>
    <row r="60" ht="15.75" customHeight="1">
      <c r="C60" s="14" t="n"/>
      <c r="D60" s="14" t="n"/>
      <c r="E60" s="14" t="n"/>
      <c r="F60" s="14" t="n"/>
      <c r="G60" s="14" t="n"/>
      <c r="H60" s="14" t="n"/>
      <c r="I60" s="14" t="n"/>
      <c r="J60" s="14" t="n"/>
      <c r="K60" s="14" t="n"/>
      <c r="L60" s="14" t="n"/>
      <c r="M60" s="14" t="n"/>
      <c r="N60" s="14" t="n"/>
      <c r="O60" s="14" t="n"/>
      <c r="P60" s="14" t="n"/>
      <c r="Q60" s="14" t="n"/>
      <c r="R60" s="14" t="n"/>
      <c r="S60" s="14" t="n"/>
    </row>
    <row r="61" ht="15.75" customHeight="1">
      <c r="C61" s="14" t="n"/>
      <c r="D61" s="14" t="n"/>
      <c r="E61" s="14" t="n"/>
      <c r="F61" s="14" t="n"/>
      <c r="G61" s="14" t="n"/>
      <c r="H61" s="14" t="n"/>
      <c r="I61" s="14" t="n"/>
      <c r="J61" s="14" t="n"/>
      <c r="K61" s="14" t="n"/>
      <c r="L61" s="14" t="n"/>
      <c r="M61" s="14" t="n"/>
      <c r="N61" s="14" t="n"/>
      <c r="O61" s="14" t="n"/>
      <c r="P61" s="14" t="n"/>
      <c r="Q61" s="14" t="n"/>
      <c r="R61" s="14" t="n"/>
      <c r="S61" s="14" t="n"/>
    </row>
    <row r="62" ht="15.75" customHeight="1">
      <c r="C62" s="14" t="n"/>
      <c r="D62" s="14" t="n"/>
      <c r="E62" s="14" t="n"/>
      <c r="F62" s="14" t="n"/>
      <c r="G62" s="14" t="n"/>
      <c r="H62" s="14" t="n"/>
      <c r="I62" s="14" t="n"/>
      <c r="J62" s="14" t="n"/>
      <c r="K62" s="14" t="n"/>
      <c r="L62" s="14" t="n"/>
      <c r="M62" s="14" t="n"/>
      <c r="N62" s="14" t="n"/>
      <c r="O62" s="14" t="n"/>
      <c r="P62" s="14" t="n"/>
      <c r="Q62" s="14" t="n"/>
      <c r="R62" s="14" t="n"/>
      <c r="S62" s="14" t="n"/>
    </row>
    <row r="63" ht="15.75" customHeight="1">
      <c r="C63" s="14" t="n"/>
      <c r="D63" s="14" t="n"/>
      <c r="E63" s="14" t="n"/>
      <c r="F63" s="14" t="n"/>
      <c r="G63" s="14" t="n"/>
      <c r="H63" s="14" t="n"/>
      <c r="I63" s="14" t="n"/>
      <c r="J63" s="14" t="n"/>
      <c r="K63" s="14" t="n"/>
      <c r="L63" s="14" t="n"/>
      <c r="M63" s="14" t="n"/>
      <c r="N63" s="14" t="n"/>
      <c r="O63" s="14" t="n"/>
      <c r="P63" s="14" t="n"/>
      <c r="Q63" s="14" t="n"/>
      <c r="R63" s="14" t="n"/>
      <c r="S63" s="14" t="n"/>
    </row>
    <row r="64" ht="15.75" customHeight="1">
      <c r="C64" s="14" t="n"/>
      <c r="D64" s="14" t="n"/>
      <c r="E64" s="14" t="n"/>
      <c r="F64" s="14" t="n"/>
      <c r="G64" s="14" t="n"/>
      <c r="H64" s="14" t="n"/>
      <c r="I64" s="14" t="n"/>
      <c r="J64" s="14" t="n"/>
      <c r="K64" s="14" t="n"/>
      <c r="L64" s="14" t="n"/>
      <c r="M64" s="14" t="n"/>
      <c r="N64" s="14" t="n"/>
      <c r="O64" s="14" t="n"/>
      <c r="P64" s="14" t="n"/>
      <c r="Q64" s="14" t="n"/>
      <c r="R64" s="14" t="n"/>
      <c r="S64" s="14" t="n"/>
    </row>
    <row r="65" ht="15.75" customHeight="1">
      <c r="C65" s="14" t="n"/>
      <c r="D65" s="14" t="n"/>
      <c r="E65" s="14" t="n"/>
      <c r="F65" s="14" t="n"/>
      <c r="G65" s="14" t="n"/>
      <c r="H65" s="14" t="n"/>
      <c r="I65" s="14" t="n"/>
      <c r="J65" s="14" t="n"/>
      <c r="K65" s="14" t="n"/>
      <c r="L65" s="14" t="n"/>
      <c r="M65" s="14" t="n"/>
      <c r="N65" s="14" t="n"/>
      <c r="O65" s="14" t="n"/>
      <c r="P65" s="14" t="n"/>
      <c r="Q65" s="14" t="n"/>
      <c r="R65" s="14" t="n"/>
      <c r="S65" s="14" t="n"/>
    </row>
  </sheetData>
  <mergeCells count="18">
    <mergeCell ref="E10:G10"/>
    <mergeCell ref="E2:G2"/>
    <mergeCell ref="H2:I2"/>
    <mergeCell ref="H6:I6"/>
    <mergeCell ref="E5:G5"/>
    <mergeCell ref="H7:I7"/>
    <mergeCell ref="H10:I10"/>
    <mergeCell ref="E8:G8"/>
    <mergeCell ref="H5:I5"/>
    <mergeCell ref="E4:G4"/>
    <mergeCell ref="E9:G9"/>
    <mergeCell ref="E3:G3"/>
    <mergeCell ref="H8:I8"/>
    <mergeCell ref="H4:I4"/>
    <mergeCell ref="E7:G7"/>
    <mergeCell ref="H9:I9"/>
    <mergeCell ref="E6:G6"/>
    <mergeCell ref="H3:I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N60"/>
  <sheetViews>
    <sheetView workbookViewId="0">
      <selection activeCell="A1" sqref="A1"/>
    </sheetView>
  </sheetViews>
  <sheetFormatPr baseColWidth="8" defaultRowHeight="15"/>
  <cols>
    <col width="4" customWidth="1" min="1" max="1"/>
    <col width="22" customWidth="1" min="2" max="2"/>
    <col width="15" customWidth="1" min="3" max="3"/>
    <col width="14" customWidth="1" min="4" max="4"/>
    <col width="10" customWidth="1" min="5" max="5"/>
    <col width="12" customWidth="1" min="6" max="6"/>
    <col width="14" customWidth="1" min="7" max="7"/>
    <col width="10" customWidth="1" min="8" max="8"/>
    <col width="12" customWidth="1" min="9" max="9"/>
    <col width="11" customWidth="1" min="10" max="10"/>
    <col width="11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1" customWidth="1" min="20" max="20"/>
  </cols>
  <sheetData>
    <row r="2">
      <c r="B2" s="91" t="inlineStr">
        <is>
          <t>RV64  matmult-int</t>
        </is>
      </c>
      <c r="C2" s="92" t="inlineStr">
        <is>
          <t>FPGA cycles</t>
        </is>
      </c>
      <c r="D2" s="92" t="inlineStr">
        <is>
          <t>FPGA instret</t>
        </is>
      </c>
      <c r="E2" s="92" t="inlineStr">
        <is>
          <t>CPI</t>
        </is>
      </c>
      <c r="F2" s="92" t="inlineStr">
        <is>
          <t>sim cycles</t>
        </is>
      </c>
      <c r="G2" s="92" t="inlineStr">
        <is>
          <t>sim = FPGA?</t>
        </is>
      </c>
      <c r="H2" s="92" t="inlineStr">
        <is>
          <t>verify</t>
        </is>
      </c>
      <c r="I2" s="92" t="inlineStr">
        <is>
          <t>build MHz</t>
        </is>
      </c>
      <c r="J2" s="92" t="inlineStr">
        <is>
          <t>runtime ms</t>
        </is>
      </c>
    </row>
    <row r="3">
      <c r="B3" s="93" t="inlineStr">
        <is>
          <t>I_5SP</t>
        </is>
      </c>
      <c r="C3" s="94" t="n">
        <v>31994157</v>
      </c>
      <c r="D3" s="94" t="n">
        <v>25061097</v>
      </c>
      <c r="E3" s="95" t="n">
        <v>1.2766</v>
      </c>
      <c r="F3" s="94" t="n">
        <v>31994157</v>
      </c>
      <c r="G3" s="96" t="inlineStr">
        <is>
          <t>EXACT</t>
        </is>
      </c>
      <c r="H3" s="97" t="inlineStr">
        <is>
          <t>OK</t>
        </is>
      </c>
      <c r="I3" s="98" t="n">
        <v>37.5</v>
      </c>
      <c r="J3" s="99" t="n">
        <v>853.178</v>
      </c>
    </row>
    <row r="4">
      <c r="B4" s="93" t="inlineStr">
        <is>
          <t>IM_5SP</t>
        </is>
      </c>
      <c r="C4" s="94" t="n">
        <v>4300725</v>
      </c>
      <c r="D4" s="94" t="n">
        <v>3016347</v>
      </c>
      <c r="E4" s="95" t="n">
        <v>1.4258</v>
      </c>
      <c r="F4" s="94" t="n">
        <v>4300725</v>
      </c>
      <c r="G4" s="96" t="inlineStr">
        <is>
          <t>EXACT</t>
        </is>
      </c>
      <c r="H4" s="97" t="inlineStr">
        <is>
          <t>OK</t>
        </is>
      </c>
      <c r="I4" s="98" t="n">
        <v>38</v>
      </c>
      <c r="J4" s="99" t="n">
        <v>113.177</v>
      </c>
    </row>
    <row r="5">
      <c r="B5" s="93" t="inlineStr">
        <is>
          <t>IM_6SP</t>
        </is>
      </c>
      <c r="C5" s="94" t="n">
        <v>4318548</v>
      </c>
      <c r="D5" s="94" t="n">
        <v>3016346</v>
      </c>
      <c r="E5" s="95" t="n">
        <v>1.4317</v>
      </c>
      <c r="F5" s="94" t="n">
        <v>4318548</v>
      </c>
      <c r="G5" s="96" t="inlineStr">
        <is>
          <t>EXACT</t>
        </is>
      </c>
      <c r="H5" s="97" t="inlineStr">
        <is>
          <t>OK</t>
        </is>
      </c>
      <c r="I5" s="98" t="n">
        <v>45</v>
      </c>
      <c r="J5" s="99" t="n">
        <v>95.968</v>
      </c>
    </row>
    <row r="6">
      <c r="B6" s="93" t="inlineStr">
        <is>
          <t>IM_7SP</t>
        </is>
      </c>
      <c r="C6" s="94" t="n">
        <v>4984130</v>
      </c>
      <c r="D6" s="94" t="n">
        <v>3016346</v>
      </c>
      <c r="E6" s="95" t="n">
        <v>1.6524</v>
      </c>
      <c r="F6" s="94" t="n">
        <v>4984130</v>
      </c>
      <c r="G6" s="96" t="inlineStr">
        <is>
          <t>EXACT</t>
        </is>
      </c>
      <c r="H6" s="97" t="inlineStr">
        <is>
          <t>OK</t>
        </is>
      </c>
      <c r="I6" s="98" t="n">
        <v>47</v>
      </c>
      <c r="J6" s="99" t="n">
        <v>106.045</v>
      </c>
    </row>
    <row r="7">
      <c r="B7" s="93" t="inlineStr">
        <is>
          <t>IM_7SP_BRAM</t>
        </is>
      </c>
      <c r="C7" s="94" t="n">
        <v>5385336</v>
      </c>
      <c r="D7" s="94" t="n">
        <v>3016346</v>
      </c>
      <c r="E7" s="95" t="n">
        <v>1.7854</v>
      </c>
      <c r="F7" s="94" t="n">
        <v>5385336</v>
      </c>
      <c r="G7" s="96" t="inlineStr">
        <is>
          <t>EXACT</t>
        </is>
      </c>
      <c r="H7" s="97" t="inlineStr">
        <is>
          <t>OK</t>
        </is>
      </c>
      <c r="I7" s="98" t="n">
        <v>58</v>
      </c>
      <c r="J7" s="99" t="n">
        <v>92.851</v>
      </c>
    </row>
    <row r="8">
      <c r="B8" s="93" t="inlineStr">
        <is>
          <t>IM_7SP_BRAM_Opt</t>
        </is>
      </c>
      <c r="C8" s="94" t="n">
        <v>5385664</v>
      </c>
      <c r="D8" s="94" t="n">
        <v>3016333</v>
      </c>
      <c r="E8" s="95" t="n">
        <v>1.7855</v>
      </c>
      <c r="F8" s="94" t="n">
        <v>5385664</v>
      </c>
      <c r="G8" s="96" t="inlineStr">
        <is>
          <t>EXACT</t>
        </is>
      </c>
      <c r="H8" s="97" t="inlineStr">
        <is>
          <t>OK</t>
        </is>
      </c>
      <c r="I8" s="98" t="n">
        <v>80.952381</v>
      </c>
      <c r="J8" s="99" t="n">
        <v>66.529</v>
      </c>
    </row>
    <row r="9">
      <c r="B9" s="93" t="inlineStr">
        <is>
          <t>IM_8SP_withoutOpt</t>
        </is>
      </c>
      <c r="C9" s="94" t="n">
        <v>5767281</v>
      </c>
      <c r="D9" s="94" t="n">
        <v>3016333</v>
      </c>
      <c r="E9" s="95" t="n">
        <v>1.912</v>
      </c>
      <c r="F9" s="94" t="n">
        <v>5767281</v>
      </c>
      <c r="G9" s="96" t="inlineStr">
        <is>
          <t>EXACT</t>
        </is>
      </c>
      <c r="H9" s="97" t="inlineStr">
        <is>
          <t>OK</t>
        </is>
      </c>
      <c r="I9" s="98" t="n">
        <v>92</v>
      </c>
      <c r="J9" s="99" t="n">
        <v>62.688</v>
      </c>
    </row>
    <row r="10">
      <c r="B10" s="93" t="inlineStr">
        <is>
          <t>IM_8SP</t>
        </is>
      </c>
      <c r="C10" s="94" t="n">
        <v>5767638</v>
      </c>
      <c r="D10" s="94" t="n">
        <v>3016333</v>
      </c>
      <c r="E10" s="95" t="n">
        <v>1.9121</v>
      </c>
      <c r="F10" s="94" t="n">
        <v>5767638</v>
      </c>
      <c r="G10" s="96" t="inlineStr">
        <is>
          <t>EXACT</t>
        </is>
      </c>
      <c r="H10" s="97" t="inlineStr">
        <is>
          <t>OK</t>
        </is>
      </c>
      <c r="I10" s="98" t="n">
        <v>102</v>
      </c>
      <c r="J10" s="99" t="n">
        <v>56.545</v>
      </c>
    </row>
    <row r="12">
      <c r="B12" s="91" t="inlineStr">
        <is>
          <t>RV64  crc32</t>
        </is>
      </c>
      <c r="C12" s="92" t="inlineStr">
        <is>
          <t>FPGA cycles</t>
        </is>
      </c>
      <c r="D12" s="92" t="inlineStr">
        <is>
          <t>FPGA instret</t>
        </is>
      </c>
      <c r="E12" s="92" t="inlineStr">
        <is>
          <t>CPI</t>
        </is>
      </c>
      <c r="F12" s="92" t="inlineStr">
        <is>
          <t>sim cycles</t>
        </is>
      </c>
      <c r="G12" s="92" t="inlineStr">
        <is>
          <t>sim = FPGA?</t>
        </is>
      </c>
      <c r="H12" s="92" t="inlineStr">
        <is>
          <t>verify</t>
        </is>
      </c>
      <c r="I12" s="92" t="inlineStr">
        <is>
          <t>build MHz</t>
        </is>
      </c>
      <c r="J12" s="92" t="inlineStr">
        <is>
          <t>runtime ms</t>
        </is>
      </c>
    </row>
    <row r="13">
      <c r="B13" s="93" t="inlineStr">
        <is>
          <t>I_5SP</t>
        </is>
      </c>
      <c r="C13" s="94" t="n">
        <v>43005651</v>
      </c>
      <c r="D13" s="94" t="n">
        <v>35344061</v>
      </c>
      <c r="E13" s="95" t="n">
        <v>1.2168</v>
      </c>
      <c r="F13" s="94" t="n">
        <v>43005651</v>
      </c>
      <c r="G13" s="96" t="inlineStr">
        <is>
          <t>EXACT</t>
        </is>
      </c>
      <c r="H13" s="97" t="inlineStr">
        <is>
          <t>OK</t>
        </is>
      </c>
      <c r="I13" s="98" t="n">
        <v>37.5</v>
      </c>
      <c r="J13" s="99" t="n">
        <v>1146.817</v>
      </c>
    </row>
    <row r="14">
      <c r="B14" s="93" t="inlineStr">
        <is>
          <t>IM_5SP</t>
        </is>
      </c>
      <c r="C14" s="94" t="n">
        <v>5579135</v>
      </c>
      <c r="D14" s="94" t="n">
        <v>4183741</v>
      </c>
      <c r="E14" s="95" t="n">
        <v>1.3335</v>
      </c>
      <c r="F14" s="94" t="n">
        <v>5579135</v>
      </c>
      <c r="G14" s="96" t="inlineStr">
        <is>
          <t>EXACT</t>
        </is>
      </c>
      <c r="H14" s="97" t="inlineStr">
        <is>
          <t>OK</t>
        </is>
      </c>
      <c r="I14" s="98" t="n">
        <v>38</v>
      </c>
      <c r="J14" s="99" t="n">
        <v>146.819</v>
      </c>
    </row>
    <row r="15">
      <c r="B15" s="93" t="inlineStr">
        <is>
          <t>IM_6SP</t>
        </is>
      </c>
      <c r="C15" s="94" t="n">
        <v>5579648</v>
      </c>
      <c r="D15" s="94" t="n">
        <v>4183740</v>
      </c>
      <c r="E15" s="95" t="n">
        <v>1.3337</v>
      </c>
      <c r="F15" s="94" t="n">
        <v>5579648</v>
      </c>
      <c r="G15" s="96" t="inlineStr">
        <is>
          <t>EXACT</t>
        </is>
      </c>
      <c r="H15" s="97" t="inlineStr">
        <is>
          <t>OK</t>
        </is>
      </c>
      <c r="I15" s="98" t="n">
        <v>45</v>
      </c>
      <c r="J15" s="99" t="n">
        <v>123.992</v>
      </c>
    </row>
    <row r="16">
      <c r="B16" s="93" t="inlineStr">
        <is>
          <t>IM_7SP</t>
        </is>
      </c>
      <c r="C16" s="94" t="n">
        <v>6626856</v>
      </c>
      <c r="D16" s="94" t="n">
        <v>4183740</v>
      </c>
      <c r="E16" s="95" t="n">
        <v>1.584</v>
      </c>
      <c r="F16" s="94" t="n">
        <v>6626856</v>
      </c>
      <c r="G16" s="96" t="inlineStr">
        <is>
          <t>EXACT</t>
        </is>
      </c>
      <c r="H16" s="97" t="inlineStr">
        <is>
          <t>OK</t>
        </is>
      </c>
      <c r="I16" s="98" t="n">
        <v>47</v>
      </c>
      <c r="J16" s="99" t="n">
        <v>140.997</v>
      </c>
    </row>
    <row r="17">
      <c r="B17" s="93" t="inlineStr">
        <is>
          <t>IM_7SP_BRAM</t>
        </is>
      </c>
      <c r="C17" s="94" t="n">
        <v>6801967</v>
      </c>
      <c r="D17" s="94" t="n">
        <v>4183740</v>
      </c>
      <c r="E17" s="95" t="n">
        <v>1.6258</v>
      </c>
      <c r="F17" s="94" t="n">
        <v>6801967</v>
      </c>
      <c r="G17" s="96" t="inlineStr">
        <is>
          <t>EXACT</t>
        </is>
      </c>
      <c r="H17" s="97" t="inlineStr">
        <is>
          <t>OK</t>
        </is>
      </c>
      <c r="I17" s="98" t="n">
        <v>58</v>
      </c>
      <c r="J17" s="99" t="n">
        <v>117.275</v>
      </c>
    </row>
    <row r="18">
      <c r="B18" s="93" t="inlineStr">
        <is>
          <t>IM_7SP_BRAM_Opt</t>
        </is>
      </c>
      <c r="C18" s="94" t="n">
        <v>7150953</v>
      </c>
      <c r="D18" s="94" t="n">
        <v>4183727</v>
      </c>
      <c r="E18" s="95" t="n">
        <v>1.7092</v>
      </c>
      <c r="F18" s="94" t="n">
        <v>7150953</v>
      </c>
      <c r="G18" s="96" t="inlineStr">
        <is>
          <t>EXACT</t>
        </is>
      </c>
      <c r="H18" s="97" t="inlineStr">
        <is>
          <t>OK</t>
        </is>
      </c>
      <c r="I18" s="98" t="n">
        <v>80.952381</v>
      </c>
      <c r="J18" s="99" t="n">
        <v>88.33499999999999</v>
      </c>
    </row>
    <row r="19">
      <c r="B19" s="93" t="inlineStr">
        <is>
          <t>IM_8SP_withoutOpt</t>
        </is>
      </c>
      <c r="C19" s="94" t="n">
        <v>8893118</v>
      </c>
      <c r="D19" s="94" t="n">
        <v>4183727</v>
      </c>
      <c r="E19" s="95" t="n">
        <v>2.1256</v>
      </c>
      <c r="F19" s="94" t="n">
        <v>8893118</v>
      </c>
      <c r="G19" s="96" t="inlineStr">
        <is>
          <t>EXACT</t>
        </is>
      </c>
      <c r="H19" s="97" t="inlineStr">
        <is>
          <t>OK</t>
        </is>
      </c>
      <c r="I19" s="98" t="n">
        <v>92</v>
      </c>
      <c r="J19" s="99" t="n">
        <v>96.664</v>
      </c>
    </row>
    <row r="20">
      <c r="B20" s="93" t="inlineStr">
        <is>
          <t>IM_8SP</t>
        </is>
      </c>
      <c r="C20" s="94" t="n">
        <v>9242133</v>
      </c>
      <c r="D20" s="94" t="n">
        <v>4183727</v>
      </c>
      <c r="E20" s="95" t="n">
        <v>2.2091</v>
      </c>
      <c r="F20" s="94" t="n">
        <v>9242133</v>
      </c>
      <c r="G20" s="96" t="inlineStr">
        <is>
          <t>EXACT</t>
        </is>
      </c>
      <c r="H20" s="97" t="inlineStr">
        <is>
          <t>OK</t>
        </is>
      </c>
      <c r="I20" s="98" t="n">
        <v>102</v>
      </c>
      <c r="J20" s="99" t="n">
        <v>90.60899999999999</v>
      </c>
    </row>
    <row r="22">
      <c r="B22" s="91" t="inlineStr">
        <is>
          <t>RV64  nettle-aes</t>
        </is>
      </c>
      <c r="C22" s="92" t="inlineStr">
        <is>
          <t>FPGA cycles</t>
        </is>
      </c>
      <c r="D22" s="92" t="inlineStr">
        <is>
          <t>FPGA instret</t>
        </is>
      </c>
      <c r="E22" s="92" t="inlineStr">
        <is>
          <t>CPI</t>
        </is>
      </c>
      <c r="F22" s="92" t="inlineStr">
        <is>
          <t>sim cycles</t>
        </is>
      </c>
      <c r="G22" s="92" t="inlineStr">
        <is>
          <t>sim = FPGA?</t>
        </is>
      </c>
      <c r="H22" s="92" t="inlineStr">
        <is>
          <t>verify</t>
        </is>
      </c>
      <c r="I22" s="92" t="inlineStr">
        <is>
          <t>build MHz</t>
        </is>
      </c>
      <c r="J22" s="92" t="inlineStr">
        <is>
          <t>runtime ms</t>
        </is>
      </c>
    </row>
    <row r="23">
      <c r="B23" s="93" t="inlineStr">
        <is>
          <t>I_5SP</t>
        </is>
      </c>
      <c r="C23" s="94" t="n">
        <v>5526957</v>
      </c>
      <c r="D23" s="94" t="n">
        <v>5212283</v>
      </c>
      <c r="E23" s="95" t="n">
        <v>1.0604</v>
      </c>
      <c r="F23" s="94" t="n">
        <v>5526957</v>
      </c>
      <c r="G23" s="96" t="inlineStr">
        <is>
          <t>EXACT</t>
        </is>
      </c>
      <c r="H23" s="97" t="inlineStr">
        <is>
          <t>OK</t>
        </is>
      </c>
      <c r="I23" s="98" t="n">
        <v>37.5</v>
      </c>
      <c r="J23" s="99" t="n">
        <v>147.386</v>
      </c>
    </row>
    <row r="24">
      <c r="B24" s="93" t="inlineStr">
        <is>
          <t>IM_5SP</t>
        </is>
      </c>
      <c r="C24" s="94" t="n">
        <v>5265973</v>
      </c>
      <c r="D24" s="94" t="n">
        <v>4869827</v>
      </c>
      <c r="E24" s="95" t="n">
        <v>1.0813</v>
      </c>
      <c r="F24" s="94" t="n">
        <v>5265973</v>
      </c>
      <c r="G24" s="96" t="inlineStr">
        <is>
          <t>EXACT</t>
        </is>
      </c>
      <c r="H24" s="97" t="inlineStr">
        <is>
          <t>OK</t>
        </is>
      </c>
      <c r="I24" s="98" t="n">
        <v>30</v>
      </c>
      <c r="J24" s="99" t="n">
        <v>175.532</v>
      </c>
    </row>
    <row r="25">
      <c r="B25" s="93" t="inlineStr">
        <is>
          <t>IM_6SP</t>
        </is>
      </c>
      <c r="C25" s="94" t="n">
        <v>5298275</v>
      </c>
      <c r="D25" s="94" t="n">
        <v>4869826</v>
      </c>
      <c r="E25" s="95" t="n">
        <v>1.088</v>
      </c>
      <c r="F25" s="94" t="n">
        <v>5298275</v>
      </c>
      <c r="G25" s="96" t="inlineStr">
        <is>
          <t>EXACT</t>
        </is>
      </c>
      <c r="H25" s="97" t="inlineStr">
        <is>
          <t>OK</t>
        </is>
      </c>
      <c r="I25" s="98" t="n">
        <v>45</v>
      </c>
      <c r="J25" s="99" t="n">
        <v>117.739</v>
      </c>
    </row>
    <row r="26">
      <c r="B26" s="93" t="inlineStr">
        <is>
          <t>IM_7SP</t>
        </is>
      </c>
      <c r="C26" s="94" t="n">
        <v>5532365</v>
      </c>
      <c r="D26" s="94" t="n">
        <v>4869826</v>
      </c>
      <c r="E26" s="95" t="n">
        <v>1.136</v>
      </c>
      <c r="F26" s="94" t="n">
        <v>5532365</v>
      </c>
      <c r="G26" s="96" t="inlineStr">
        <is>
          <t>EXACT</t>
        </is>
      </c>
      <c r="H26" s="97" t="inlineStr">
        <is>
          <t>OK</t>
        </is>
      </c>
      <c r="I26" s="98" t="n">
        <v>47</v>
      </c>
      <c r="J26" s="99" t="n">
        <v>117.71</v>
      </c>
    </row>
    <row r="27">
      <c r="B27" s="93" t="inlineStr">
        <is>
          <t>IM_7SP_BRAM</t>
        </is>
      </c>
      <c r="C27" s="94" t="n">
        <v>5592571</v>
      </c>
      <c r="D27" s="94" t="n">
        <v>4869826</v>
      </c>
      <c r="E27" s="95" t="n">
        <v>1.1484</v>
      </c>
      <c r="F27" s="94" t="n">
        <v>5592571</v>
      </c>
      <c r="G27" s="96" t="inlineStr">
        <is>
          <t>EXACT</t>
        </is>
      </c>
      <c r="H27" s="97" t="inlineStr">
        <is>
          <t>OK</t>
        </is>
      </c>
      <c r="I27" s="98" t="n">
        <v>58</v>
      </c>
      <c r="J27" s="99" t="n">
        <v>96.42400000000001</v>
      </c>
    </row>
    <row r="28">
      <c r="B28" s="93" t="inlineStr">
        <is>
          <t>IM_7SP_BRAM_Opt</t>
        </is>
      </c>
      <c r="C28" s="94" t="n">
        <v>5640656</v>
      </c>
      <c r="D28" s="94" t="n">
        <v>4869813</v>
      </c>
      <c r="E28" s="95" t="n">
        <v>1.1583</v>
      </c>
      <c r="F28" s="94" t="n">
        <v>5640656</v>
      </c>
      <c r="G28" s="96" t="inlineStr">
        <is>
          <t>EXACT</t>
        </is>
      </c>
      <c r="H28" s="97" t="inlineStr">
        <is>
          <t>OK</t>
        </is>
      </c>
      <c r="I28" s="98" t="n">
        <v>80.952381</v>
      </c>
      <c r="J28" s="99" t="n">
        <v>69.679</v>
      </c>
    </row>
    <row r="29">
      <c r="B29" s="93" t="inlineStr">
        <is>
          <t>IM_8SP_withoutOpt</t>
        </is>
      </c>
      <c r="C29" s="94" t="n">
        <v>6418976</v>
      </c>
      <c r="D29" s="94" t="n">
        <v>4869813</v>
      </c>
      <c r="E29" s="95" t="n">
        <v>1.3181</v>
      </c>
      <c r="F29" s="94" t="n">
        <v>6418976</v>
      </c>
      <c r="G29" s="96" t="inlineStr">
        <is>
          <t>EXACT</t>
        </is>
      </c>
      <c r="H29" s="97" t="inlineStr">
        <is>
          <t>OK</t>
        </is>
      </c>
      <c r="I29" s="98" t="n">
        <v>92</v>
      </c>
      <c r="J29" s="99" t="n">
        <v>69.771</v>
      </c>
    </row>
    <row r="30">
      <c r="B30" s="93" t="inlineStr">
        <is>
          <t>IM_8SP</t>
        </is>
      </c>
      <c r="C30" s="94" t="n">
        <v>6467090</v>
      </c>
      <c r="D30" s="94" t="n">
        <v>4869813</v>
      </c>
      <c r="E30" s="95" t="n">
        <v>1.328</v>
      </c>
      <c r="F30" s="94" t="n">
        <v>6467090</v>
      </c>
      <c r="G30" s="96" t="inlineStr">
        <is>
          <t>EXACT</t>
        </is>
      </c>
      <c r="H30" s="97" t="inlineStr">
        <is>
          <t>OK</t>
        </is>
      </c>
      <c r="I30" s="98" t="n">
        <v>102</v>
      </c>
      <c r="J30" s="99" t="n">
        <v>63.403</v>
      </c>
    </row>
    <row r="32">
      <c r="B32" s="91" t="inlineStr">
        <is>
          <t>RV64  statemate</t>
        </is>
      </c>
      <c r="C32" s="92" t="inlineStr">
        <is>
          <t>FPGA cycles</t>
        </is>
      </c>
      <c r="D32" s="92" t="inlineStr">
        <is>
          <t>FPGA instret</t>
        </is>
      </c>
      <c r="E32" s="92" t="inlineStr">
        <is>
          <t>CPI</t>
        </is>
      </c>
      <c r="F32" s="92" t="inlineStr">
        <is>
          <t>sim cycles</t>
        </is>
      </c>
      <c r="G32" s="92" t="inlineStr">
        <is>
          <t>sim = FPGA?</t>
        </is>
      </c>
      <c r="H32" s="92" t="inlineStr">
        <is>
          <t>verify</t>
        </is>
      </c>
      <c r="I32" s="92" t="inlineStr">
        <is>
          <t>build MHz</t>
        </is>
      </c>
      <c r="J32" s="92" t="inlineStr">
        <is>
          <t>runtime ms</t>
        </is>
      </c>
    </row>
    <row r="33">
      <c r="B33" s="93" t="inlineStr">
        <is>
          <t>I_5SP</t>
        </is>
      </c>
      <c r="C33" s="94" t="n">
        <v>3633109</v>
      </c>
      <c r="D33" s="94" t="n">
        <v>3300079</v>
      </c>
      <c r="E33" s="95" t="n">
        <v>1.1009</v>
      </c>
      <c r="F33" s="94" t="n">
        <v>3633109</v>
      </c>
      <c r="G33" s="96" t="inlineStr">
        <is>
          <t>EXACT</t>
        </is>
      </c>
      <c r="H33" s="97" t="inlineStr">
        <is>
          <t>OK</t>
        </is>
      </c>
      <c r="I33" s="98" t="n">
        <v>37.5</v>
      </c>
      <c r="J33" s="99" t="n">
        <v>96.883</v>
      </c>
    </row>
    <row r="34">
      <c r="B34" s="93" t="inlineStr">
        <is>
          <t>IM_5SP</t>
        </is>
      </c>
      <c r="C34" s="94" t="n">
        <v>3633109</v>
      </c>
      <c r="D34" s="94" t="n">
        <v>3300079</v>
      </c>
      <c r="E34" s="95" t="n">
        <v>1.1009</v>
      </c>
      <c r="F34" s="94" t="n">
        <v>3633109</v>
      </c>
      <c r="G34" s="96" t="inlineStr">
        <is>
          <t>EXACT</t>
        </is>
      </c>
      <c r="H34" s="97" t="inlineStr">
        <is>
          <t>OK</t>
        </is>
      </c>
      <c r="I34" s="98" t="n">
        <v>38</v>
      </c>
      <c r="J34" s="99" t="n">
        <v>95.608</v>
      </c>
    </row>
    <row r="35">
      <c r="B35" s="93" t="inlineStr">
        <is>
          <t>IM_6SP</t>
        </is>
      </c>
      <c r="C35" s="94" t="n">
        <v>3859549</v>
      </c>
      <c r="D35" s="94" t="n">
        <v>3300078</v>
      </c>
      <c r="E35" s="95" t="n">
        <v>1.1695</v>
      </c>
      <c r="F35" s="94" t="n">
        <v>3859549</v>
      </c>
      <c r="G35" s="96" t="inlineStr">
        <is>
          <t>EXACT</t>
        </is>
      </c>
      <c r="H35" s="97" t="inlineStr">
        <is>
          <t>OK</t>
        </is>
      </c>
      <c r="I35" s="98" t="n">
        <v>45</v>
      </c>
      <c r="J35" s="99" t="n">
        <v>85.768</v>
      </c>
    </row>
    <row r="36">
      <c r="B36" s="93" t="inlineStr">
        <is>
          <t>IM_7SP</t>
        </is>
      </c>
      <c r="C36" s="94" t="n">
        <v>4372375</v>
      </c>
      <c r="D36" s="94" t="n">
        <v>3300078</v>
      </c>
      <c r="E36" s="95" t="n">
        <v>1.3249</v>
      </c>
      <c r="F36" s="94" t="n">
        <v>4372375</v>
      </c>
      <c r="G36" s="96" t="inlineStr">
        <is>
          <t>EXACT</t>
        </is>
      </c>
      <c r="H36" s="97" t="inlineStr">
        <is>
          <t>OK</t>
        </is>
      </c>
      <c r="I36" s="98" t="n">
        <v>47</v>
      </c>
      <c r="J36" s="99" t="n">
        <v>93.029</v>
      </c>
    </row>
    <row r="37">
      <c r="B37" s="93" t="inlineStr">
        <is>
          <t>IM_7SP_BRAM</t>
        </is>
      </c>
      <c r="C37" s="94" t="n">
        <v>5188238</v>
      </c>
      <c r="D37" s="94" t="n">
        <v>3300078</v>
      </c>
      <c r="E37" s="95" t="n">
        <v>1.5722</v>
      </c>
      <c r="F37" s="94" t="n">
        <v>5188238</v>
      </c>
      <c r="G37" s="96" t="inlineStr">
        <is>
          <t>EXACT</t>
        </is>
      </c>
      <c r="H37" s="97" t="inlineStr">
        <is>
          <t>OK</t>
        </is>
      </c>
      <c r="I37" s="98" t="n">
        <v>58</v>
      </c>
      <c r="J37" s="99" t="n">
        <v>89.452</v>
      </c>
    </row>
    <row r="38">
      <c r="B38" s="93" t="inlineStr">
        <is>
          <t>IM_7SP_BRAM_Opt</t>
        </is>
      </c>
      <c r="C38" s="94" t="n">
        <v>5281455</v>
      </c>
      <c r="D38" s="94" t="n">
        <v>3300065</v>
      </c>
      <c r="E38" s="95" t="n">
        <v>1.6004</v>
      </c>
      <c r="F38" s="94" t="n">
        <v>5281455</v>
      </c>
      <c r="G38" s="96" t="inlineStr">
        <is>
          <t>EXACT</t>
        </is>
      </c>
      <c r="H38" s="97" t="inlineStr">
        <is>
          <t>OK</t>
        </is>
      </c>
      <c r="I38" s="98" t="n">
        <v>80.952381</v>
      </c>
      <c r="J38" s="99" t="n">
        <v>65.242</v>
      </c>
    </row>
    <row r="39">
      <c r="B39" s="93" t="inlineStr">
        <is>
          <t>IM_8SP_withoutOpt</t>
        </is>
      </c>
      <c r="C39" s="94" t="n">
        <v>6973097</v>
      </c>
      <c r="D39" s="94" t="n">
        <v>3300065</v>
      </c>
      <c r="E39" s="95" t="n">
        <v>2.113</v>
      </c>
      <c r="F39" s="94" t="n">
        <v>6973097</v>
      </c>
      <c r="G39" s="96" t="inlineStr">
        <is>
          <t>EXACT</t>
        </is>
      </c>
      <c r="H39" s="97" t="inlineStr">
        <is>
          <t>OK</t>
        </is>
      </c>
      <c r="I39" s="98" t="n">
        <v>92</v>
      </c>
      <c r="J39" s="99" t="n">
        <v>75.795</v>
      </c>
    </row>
    <row r="40">
      <c r="B40" s="93" t="inlineStr">
        <is>
          <t>IM_8SP</t>
        </is>
      </c>
      <c r="C40" s="94" t="n">
        <v>7066343</v>
      </c>
      <c r="D40" s="94" t="n">
        <v>3300065</v>
      </c>
      <c r="E40" s="95" t="n">
        <v>2.1413</v>
      </c>
      <c r="F40" s="94" t="n">
        <v>7066343</v>
      </c>
      <c r="G40" s="96" t="inlineStr">
        <is>
          <t>EXACT</t>
        </is>
      </c>
      <c r="H40" s="97" t="inlineStr">
        <is>
          <t>OK</t>
        </is>
      </c>
      <c r="I40" s="98" t="n">
        <v>102</v>
      </c>
      <c r="J40" s="99" t="n">
        <v>69.27800000000001</v>
      </c>
    </row>
    <row r="42">
      <c r="B42" s="91" t="inlineStr">
        <is>
          <t>RV64  md5sum</t>
        </is>
      </c>
      <c r="C42" s="92" t="inlineStr">
        <is>
          <t>FPGA cycles</t>
        </is>
      </c>
      <c r="D42" s="92" t="inlineStr">
        <is>
          <t>FPGA instret</t>
        </is>
      </c>
      <c r="E42" s="92" t="inlineStr">
        <is>
          <t>CPI</t>
        </is>
      </c>
      <c r="F42" s="92" t="inlineStr">
        <is>
          <t>sim cycles</t>
        </is>
      </c>
      <c r="G42" s="92" t="inlineStr">
        <is>
          <t>sim = FPGA?</t>
        </is>
      </c>
      <c r="H42" s="92" t="inlineStr">
        <is>
          <t>verify</t>
        </is>
      </c>
      <c r="I42" s="92" t="inlineStr">
        <is>
          <t>build MHz</t>
        </is>
      </c>
      <c r="J42" s="92" t="inlineStr">
        <is>
          <t>runtime ms</t>
        </is>
      </c>
    </row>
    <row r="43">
      <c r="B43" s="93" t="inlineStr">
        <is>
          <t>I_5SP</t>
        </is>
      </c>
      <c r="C43" s="94" t="n">
        <v>2947978</v>
      </c>
      <c r="D43" s="94" t="n">
        <v>2598542</v>
      </c>
      <c r="E43" s="95" t="n">
        <v>1.1345</v>
      </c>
      <c r="F43" s="94" t="n">
        <v>2947978</v>
      </c>
      <c r="G43" s="96" t="inlineStr">
        <is>
          <t>EXACT</t>
        </is>
      </c>
      <c r="H43" s="97" t="inlineStr">
        <is>
          <t>OK</t>
        </is>
      </c>
      <c r="I43" s="98" t="n">
        <v>37.5</v>
      </c>
      <c r="J43" s="99" t="n">
        <v>78.613</v>
      </c>
    </row>
    <row r="44">
      <c r="B44" s="93" t="inlineStr">
        <is>
          <t>IM_5SP</t>
        </is>
      </c>
      <c r="C44" s="94" t="n">
        <v>3165316</v>
      </c>
      <c r="D44" s="94" t="n">
        <v>2545544</v>
      </c>
      <c r="E44" s="95" t="n">
        <v>1.2435</v>
      </c>
      <c r="F44" s="94" t="n">
        <v>3165316</v>
      </c>
      <c r="G44" s="96" t="inlineStr">
        <is>
          <t>EXACT</t>
        </is>
      </c>
      <c r="H44" s="97" t="inlineStr">
        <is>
          <t>OK</t>
        </is>
      </c>
      <c r="I44" s="98" t="n">
        <v>38</v>
      </c>
      <c r="J44" s="99" t="n">
        <v>83.298</v>
      </c>
    </row>
    <row r="45">
      <c r="B45" s="93" t="inlineStr">
        <is>
          <t>IM_6SP</t>
        </is>
      </c>
      <c r="C45" s="94" t="n">
        <v>3219768</v>
      </c>
      <c r="D45" s="94" t="n">
        <v>2545543</v>
      </c>
      <c r="E45" s="95" t="n">
        <v>1.2649</v>
      </c>
      <c r="F45" s="94" t="n">
        <v>3219768</v>
      </c>
      <c r="G45" s="96" t="inlineStr">
        <is>
          <t>EXACT</t>
        </is>
      </c>
      <c r="H45" s="97" t="inlineStr">
        <is>
          <t>OK</t>
        </is>
      </c>
      <c r="I45" s="98" t="n">
        <v>45</v>
      </c>
      <c r="J45" s="99" t="n">
        <v>71.55</v>
      </c>
    </row>
    <row r="46">
      <c r="B46" s="93" t="inlineStr">
        <is>
          <t>IM_7SP</t>
        </is>
      </c>
      <c r="C46" s="94" t="n">
        <v>4118828</v>
      </c>
      <c r="D46" s="94" t="n">
        <v>2545543</v>
      </c>
      <c r="E46" s="95" t="n">
        <v>1.6181</v>
      </c>
      <c r="F46" s="94" t="n">
        <v>4118828</v>
      </c>
      <c r="G46" s="96" t="inlineStr">
        <is>
          <t>EXACT</t>
        </is>
      </c>
      <c r="H46" s="97" t="inlineStr">
        <is>
          <t>OK</t>
        </is>
      </c>
      <c r="I46" s="98" t="n">
        <v>47</v>
      </c>
      <c r="J46" s="99" t="n">
        <v>87.63500000000001</v>
      </c>
    </row>
    <row r="47">
      <c r="B47" s="93" t="inlineStr">
        <is>
          <t>IM_7SP_BRAM</t>
        </is>
      </c>
      <c r="C47" s="94" t="n">
        <v>4210911</v>
      </c>
      <c r="D47" s="94" t="n">
        <v>2545543</v>
      </c>
      <c r="E47" s="95" t="n">
        <v>1.6542</v>
      </c>
      <c r="F47" s="94" t="n">
        <v>4210911</v>
      </c>
      <c r="G47" s="96" t="inlineStr">
        <is>
          <t>EXACT</t>
        </is>
      </c>
      <c r="H47" s="97" t="inlineStr">
        <is>
          <t>OK</t>
        </is>
      </c>
      <c r="I47" s="98" t="n">
        <v>58</v>
      </c>
      <c r="J47" s="99" t="n">
        <v>72.602</v>
      </c>
    </row>
    <row r="48">
      <c r="B48" s="93" t="inlineStr">
        <is>
          <t>IM_7SP_BRAM_Opt</t>
        </is>
      </c>
      <c r="C48" s="94" t="n">
        <v>4364931</v>
      </c>
      <c r="D48" s="94" t="n">
        <v>2545530</v>
      </c>
      <c r="E48" s="95" t="n">
        <v>1.7147</v>
      </c>
      <c r="F48" s="94" t="n">
        <v>4364931</v>
      </c>
      <c r="G48" s="96" t="inlineStr">
        <is>
          <t>EXACT</t>
        </is>
      </c>
      <c r="H48" s="97" t="inlineStr">
        <is>
          <t>OK</t>
        </is>
      </c>
      <c r="I48" s="98" t="n">
        <v>80.952381</v>
      </c>
      <c r="J48" s="99" t="n">
        <v>53.92</v>
      </c>
    </row>
    <row r="49">
      <c r="B49" s="93" t="inlineStr">
        <is>
          <t>IM_8SP_withoutOpt</t>
        </is>
      </c>
      <c r="C49" s="94" t="n">
        <v>5172449</v>
      </c>
      <c r="D49" s="94" t="n">
        <v>2545530</v>
      </c>
      <c r="E49" s="95" t="n">
        <v>2.032</v>
      </c>
      <c r="F49" s="94" t="n">
        <v>5172449</v>
      </c>
      <c r="G49" s="96" t="inlineStr">
        <is>
          <t>EXACT</t>
        </is>
      </c>
      <c r="H49" s="97" t="inlineStr">
        <is>
          <t>OK</t>
        </is>
      </c>
      <c r="I49" s="98" t="n">
        <v>92</v>
      </c>
      <c r="J49" s="99" t="n">
        <v>56.222</v>
      </c>
    </row>
    <row r="50">
      <c r="B50" s="93" t="inlineStr">
        <is>
          <t>IM_8SP</t>
        </is>
      </c>
      <c r="C50" s="94" t="n">
        <v>5326498</v>
      </c>
      <c r="D50" s="94" t="n">
        <v>2545530</v>
      </c>
      <c r="E50" s="95" t="n">
        <v>2.0925</v>
      </c>
      <c r="F50" s="94" t="n">
        <v>5326498</v>
      </c>
      <c r="G50" s="96" t="inlineStr">
        <is>
          <t>EXACT</t>
        </is>
      </c>
      <c r="H50" s="97" t="inlineStr">
        <is>
          <t>OK</t>
        </is>
      </c>
      <c r="I50" s="98" t="n">
        <v>102</v>
      </c>
      <c r="J50" s="99" t="n">
        <v>52.221</v>
      </c>
    </row>
    <row r="52">
      <c r="B52" s="91" t="inlineStr">
        <is>
          <t>RV64  SAIF power of the SoC build (CoreMark image)</t>
        </is>
      </c>
      <c r="C52" s="92" t="inlineStr">
        <is>
          <t>SoC Fmax</t>
        </is>
      </c>
      <c r="D52" s="92" t="inlineStr">
        <is>
          <t>Total W</t>
        </is>
      </c>
      <c r="E52" s="92" t="inlineStr">
        <is>
          <t>Dynamic</t>
        </is>
      </c>
      <c r="F52" s="92" t="inlineStr">
        <is>
          <t>Clocks</t>
        </is>
      </c>
      <c r="G52" s="92" t="inlineStr">
        <is>
          <t>Signals</t>
        </is>
      </c>
      <c r="H52" s="92" t="inlineStr">
        <is>
          <t>Logic</t>
        </is>
      </c>
      <c r="I52" s="92" t="inlineStr">
        <is>
          <t>BRAM</t>
        </is>
      </c>
      <c r="J52" s="92" t="inlineStr">
        <is>
          <t>DSP</t>
        </is>
      </c>
      <c r="K52" s="92" t="inlineStr">
        <is>
          <t>PLL</t>
        </is>
      </c>
      <c r="L52" s="92" t="inlineStr">
        <is>
          <t>I/O</t>
        </is>
      </c>
      <c r="M52" s="92" t="inlineStr">
        <is>
          <t>Static</t>
        </is>
      </c>
      <c r="N52" s="92" t="inlineStr">
        <is>
          <t>toggling %</t>
        </is>
      </c>
    </row>
    <row r="53">
      <c r="B53" s="93" t="inlineStr">
        <is>
          <t>I_5SP</t>
        </is>
      </c>
      <c r="C53" s="99" t="n">
        <v>37.711</v>
      </c>
      <c r="D53" s="99" t="n">
        <v>0.422</v>
      </c>
      <c r="E53" s="99" t="n">
        <v>0.27</v>
      </c>
      <c r="F53" s="99" t="n">
        <v>0.017</v>
      </c>
      <c r="G53" s="99" t="n">
        <v>0.097</v>
      </c>
      <c r="H53" s="99" t="n">
        <v>0.047</v>
      </c>
      <c r="I53" s="99" t="n">
        <v>0</v>
      </c>
      <c r="J53" s="99" t="n">
        <v>0</v>
      </c>
      <c r="K53" s="99" t="n">
        <v>0.107</v>
      </c>
      <c r="L53" s="99" t="n">
        <v>0.002</v>
      </c>
      <c r="M53" s="99" t="n">
        <v>0.152</v>
      </c>
      <c r="N53" s="100" t="n">
        <v>0.7062</v>
      </c>
    </row>
    <row r="54">
      <c r="B54" s="93" t="inlineStr">
        <is>
          <t>IM_5SP</t>
        </is>
      </c>
      <c r="C54" s="99" t="n">
        <v>38.058</v>
      </c>
      <c r="D54" s="99" t="n">
        <v>0.383</v>
      </c>
      <c r="E54" s="99" t="n">
        <v>0.231</v>
      </c>
      <c r="F54" s="99" t="n">
        <v>0.013</v>
      </c>
      <c r="G54" s="99" t="n">
        <v>0.076</v>
      </c>
      <c r="H54" s="99" t="n">
        <v>0.036</v>
      </c>
      <c r="I54" s="99" t="n">
        <v>0</v>
      </c>
      <c r="J54" s="99" t="n">
        <v>0</v>
      </c>
      <c r="K54" s="99" t="n">
        <v>0.104</v>
      </c>
      <c r="L54" s="99" t="n">
        <v>0.002</v>
      </c>
      <c r="M54" s="99" t="n">
        <v>0.152</v>
      </c>
      <c r="N54" s="100" t="n">
        <v>0.6772</v>
      </c>
    </row>
    <row r="55">
      <c r="B55" s="93" t="inlineStr">
        <is>
          <t>IM_6SP</t>
        </is>
      </c>
      <c r="C55" s="99" t="n">
        <v>45.108</v>
      </c>
      <c r="D55" s="99" t="n">
        <v>0.396</v>
      </c>
      <c r="E55" s="99" t="n">
        <v>0.245</v>
      </c>
      <c r="F55" s="99" t="n">
        <v>0.017</v>
      </c>
      <c r="G55" s="99" t="n">
        <v>0.089</v>
      </c>
      <c r="H55" s="99" t="n">
        <v>0.035</v>
      </c>
      <c r="I55" s="99" t="n">
        <v>0</v>
      </c>
      <c r="J55" s="99" t="n">
        <v>0</v>
      </c>
      <c r="K55" s="99" t="n">
        <v>0.101</v>
      </c>
      <c r="L55" s="99" t="n">
        <v>0.003</v>
      </c>
      <c r="M55" s="99" t="n">
        <v>0.152</v>
      </c>
      <c r="N55" s="100" t="n">
        <v>0.6724</v>
      </c>
    </row>
    <row r="56">
      <c r="B56" s="93" t="inlineStr">
        <is>
          <t>IM_7SP</t>
        </is>
      </c>
      <c r="C56" s="99" t="n">
        <v>47.374</v>
      </c>
      <c r="D56" s="99" t="n">
        <v>0.402</v>
      </c>
      <c r="E56" s="99" t="n">
        <v>0.25</v>
      </c>
      <c r="F56" s="99" t="n">
        <v>0.019</v>
      </c>
      <c r="G56" s="99" t="n">
        <v>0.081</v>
      </c>
      <c r="H56" s="99" t="n">
        <v>0.037</v>
      </c>
      <c r="I56" s="99" t="n">
        <v>0.006</v>
      </c>
      <c r="J56" s="99" t="n">
        <v>0</v>
      </c>
      <c r="K56" s="99" t="n">
        <v>0.105</v>
      </c>
      <c r="L56" s="99" t="n">
        <v>0.002</v>
      </c>
      <c r="M56" s="99" t="n">
        <v>0.153</v>
      </c>
      <c r="N56" s="100" t="n">
        <v>0.6285000000000001</v>
      </c>
    </row>
    <row r="57">
      <c r="B57" s="93" t="inlineStr">
        <is>
          <t>IM_7SP_BRAM</t>
        </is>
      </c>
      <c r="C57" s="99" t="n">
        <v>58.591</v>
      </c>
      <c r="D57" s="99" t="n">
        <v>0.415</v>
      </c>
      <c r="E57" s="99" t="n">
        <v>0.261</v>
      </c>
      <c r="F57" s="99" t="n">
        <v>0.015</v>
      </c>
      <c r="G57" s="99" t="n">
        <v>0.057</v>
      </c>
      <c r="H57" s="99" t="n">
        <v>0.046</v>
      </c>
      <c r="I57" s="99" t="n">
        <v>0.023</v>
      </c>
      <c r="J57" s="99" t="n">
        <v>0</v>
      </c>
      <c r="K57" s="99" t="n">
        <v>0.118</v>
      </c>
      <c r="L57" s="99" t="n">
        <v>0.002</v>
      </c>
      <c r="M57" s="99" t="n">
        <v>0.153</v>
      </c>
      <c r="N57" s="100" t="n">
        <v>0.638</v>
      </c>
    </row>
    <row r="58">
      <c r="B58" s="93" t="inlineStr">
        <is>
          <t>IM_7SP_BRAM_Opt</t>
        </is>
      </c>
      <c r="C58" s="99" t="n">
        <v>80.97199999999999</v>
      </c>
      <c r="D58" s="99" t="n">
        <v>0.499</v>
      </c>
      <c r="E58" s="99" t="n">
        <v>0.345</v>
      </c>
      <c r="F58" s="99" t="n">
        <v>0.021</v>
      </c>
      <c r="G58" s="99" t="n">
        <v>0.091</v>
      </c>
      <c r="H58" s="99" t="n">
        <v>0.082</v>
      </c>
      <c r="I58" s="99" t="n">
        <v>0.035</v>
      </c>
      <c r="J58" s="99" t="n">
        <v>0</v>
      </c>
      <c r="K58" s="99" t="n">
        <v>0.113</v>
      </c>
      <c r="L58" s="99" t="n">
        <v>0.003</v>
      </c>
      <c r="M58" s="99" t="n">
        <v>0.154</v>
      </c>
      <c r="N58" s="100" t="n">
        <v>0.6258</v>
      </c>
    </row>
    <row r="59">
      <c r="B59" s="93" t="inlineStr">
        <is>
          <t>IM_8SP_withoutOpt</t>
        </is>
      </c>
      <c r="C59" s="99" t="n">
        <v>92.468</v>
      </c>
      <c r="D59" s="99" t="n">
        <v>0.42</v>
      </c>
      <c r="E59" s="99" t="n">
        <v>0.267</v>
      </c>
      <c r="F59" s="99" t="n">
        <v>0.022</v>
      </c>
      <c r="G59" s="99" t="n">
        <v>0.057</v>
      </c>
      <c r="H59" s="99" t="n">
        <v>0.037</v>
      </c>
      <c r="I59" s="99" t="n">
        <v>0.041</v>
      </c>
      <c r="J59" s="99" t="n">
        <v>0</v>
      </c>
      <c r="K59" s="99" t="n">
        <v>0.106</v>
      </c>
      <c r="L59" s="99" t="n">
        <v>0.004</v>
      </c>
      <c r="M59" s="99" t="n">
        <v>0.153</v>
      </c>
      <c r="N59" s="100" t="n">
        <v>0.5199</v>
      </c>
    </row>
    <row r="60">
      <c r="B60" s="93" t="inlineStr">
        <is>
          <t>IM_8SP</t>
        </is>
      </c>
      <c r="C60" s="99" t="n">
        <v>102.386</v>
      </c>
      <c r="D60" s="99" t="n">
        <v>0.333</v>
      </c>
      <c r="E60" s="99" t="n">
        <v>0.18</v>
      </c>
      <c r="F60" s="99" t="n">
        <v>0.024</v>
      </c>
      <c r="G60" s="99" t="n">
        <v>0.001</v>
      </c>
      <c r="H60" s="99" t="n">
        <v>0</v>
      </c>
      <c r="I60" s="99" t="n">
        <v>0.045</v>
      </c>
      <c r="J60" s="99" t="n">
        <v>0</v>
      </c>
      <c r="K60" s="99" t="n">
        <v>0.11</v>
      </c>
      <c r="L60" s="99" t="n">
        <v>0</v>
      </c>
      <c r="M60" s="99" t="n">
        <v>0.153</v>
      </c>
      <c r="N60" s="100" t="n">
        <v>0.2374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N60"/>
  <sheetViews>
    <sheetView workbookViewId="0">
      <selection activeCell="A1" sqref="A1"/>
    </sheetView>
  </sheetViews>
  <sheetFormatPr baseColWidth="8" defaultRowHeight="15"/>
  <cols>
    <col width="4" customWidth="1" min="1" max="1"/>
    <col width="22" customWidth="1" min="2" max="2"/>
    <col width="15" customWidth="1" min="3" max="3"/>
    <col width="14" customWidth="1" min="4" max="4"/>
    <col width="10" customWidth="1" min="5" max="5"/>
    <col width="12" customWidth="1" min="6" max="6"/>
    <col width="14" customWidth="1" min="7" max="7"/>
    <col width="10" customWidth="1" min="8" max="8"/>
    <col width="12" customWidth="1" min="9" max="9"/>
    <col width="11" customWidth="1" min="10" max="10"/>
    <col width="11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1" customWidth="1" min="20" max="20"/>
  </cols>
  <sheetData>
    <row r="2">
      <c r="B2" s="91" t="inlineStr">
        <is>
          <t>RV32  matmult-int</t>
        </is>
      </c>
      <c r="C2" s="92" t="inlineStr">
        <is>
          <t>FPGA cycles</t>
        </is>
      </c>
      <c r="D2" s="92" t="inlineStr">
        <is>
          <t>FPGA instret</t>
        </is>
      </c>
      <c r="E2" s="92" t="inlineStr">
        <is>
          <t>CPI</t>
        </is>
      </c>
      <c r="F2" s="92" t="inlineStr">
        <is>
          <t>sim cycles</t>
        </is>
      </c>
      <c r="G2" s="92" t="inlineStr">
        <is>
          <t>sim = FPGA?</t>
        </is>
      </c>
      <c r="H2" s="92" t="inlineStr">
        <is>
          <t>verify</t>
        </is>
      </c>
      <c r="I2" s="92" t="inlineStr">
        <is>
          <t>build MHz</t>
        </is>
      </c>
      <c r="J2" s="92" t="inlineStr">
        <is>
          <t>runtime ms</t>
        </is>
      </c>
    </row>
    <row r="3">
      <c r="B3" s="93" t="inlineStr">
        <is>
          <t>I_5SP</t>
        </is>
      </c>
      <c r="C3" s="101" t="inlineStr">
        <is>
          <t>awaiting re-measurement (RV32 counter fix)</t>
        </is>
      </c>
    </row>
    <row r="4">
      <c r="B4" s="93" t="inlineStr">
        <is>
          <t>IM_5SP</t>
        </is>
      </c>
      <c r="C4" s="101" t="inlineStr">
        <is>
          <t>awaiting re-measurement (RV32 counter fix)</t>
        </is>
      </c>
    </row>
    <row r="5">
      <c r="B5" s="93" t="inlineStr">
        <is>
          <t>IM_6SP</t>
        </is>
      </c>
      <c r="C5" s="101" t="inlineStr">
        <is>
          <t>awaiting re-measurement (RV32 counter fix)</t>
        </is>
      </c>
    </row>
    <row r="6">
      <c r="B6" s="93" t="inlineStr">
        <is>
          <t>IM_7SP</t>
        </is>
      </c>
      <c r="C6" s="101" t="inlineStr">
        <is>
          <t>awaiting re-measurement (RV32 counter fix)</t>
        </is>
      </c>
    </row>
    <row r="7">
      <c r="B7" s="93" t="inlineStr">
        <is>
          <t>IM_7SP_BRAM</t>
        </is>
      </c>
      <c r="C7" s="101" t="inlineStr">
        <is>
          <t>awaiting re-measurement (RV32 counter fix)</t>
        </is>
      </c>
    </row>
    <row r="8">
      <c r="B8" s="93" t="inlineStr">
        <is>
          <t>IM_7SP_BRAM_Opt</t>
        </is>
      </c>
      <c r="C8" s="101" t="inlineStr">
        <is>
          <t>awaiting re-measurement (RV32 counter fix)</t>
        </is>
      </c>
    </row>
    <row r="9">
      <c r="B9" s="93" t="inlineStr">
        <is>
          <t>IM_8SP_withoutOpt</t>
        </is>
      </c>
      <c r="C9" s="101" t="inlineStr">
        <is>
          <t>awaiting re-measurement (RV32 counter fix)</t>
        </is>
      </c>
    </row>
    <row r="10">
      <c r="B10" s="93" t="inlineStr">
        <is>
          <t>IM_8SP</t>
        </is>
      </c>
      <c r="C10" s="101" t="inlineStr">
        <is>
          <t>awaiting re-measurement (RV32 counter fix)</t>
        </is>
      </c>
    </row>
    <row r="12">
      <c r="B12" s="91" t="inlineStr">
        <is>
          <t>RV32  crc32</t>
        </is>
      </c>
      <c r="C12" s="92" t="inlineStr">
        <is>
          <t>FPGA cycles</t>
        </is>
      </c>
      <c r="D12" s="92" t="inlineStr">
        <is>
          <t>FPGA instret</t>
        </is>
      </c>
      <c r="E12" s="92" t="inlineStr">
        <is>
          <t>CPI</t>
        </is>
      </c>
      <c r="F12" s="92" t="inlineStr">
        <is>
          <t>sim cycles</t>
        </is>
      </c>
      <c r="G12" s="92" t="inlineStr">
        <is>
          <t>sim = FPGA?</t>
        </is>
      </c>
      <c r="H12" s="92" t="inlineStr">
        <is>
          <t>verify</t>
        </is>
      </c>
      <c r="I12" s="92" t="inlineStr">
        <is>
          <t>build MHz</t>
        </is>
      </c>
      <c r="J12" s="92" t="inlineStr">
        <is>
          <t>runtime ms</t>
        </is>
      </c>
    </row>
    <row r="13">
      <c r="B13" s="93" t="inlineStr">
        <is>
          <t>I_5SP</t>
        </is>
      </c>
      <c r="C13" s="101" t="inlineStr">
        <is>
          <t>awaiting re-measurement (RV32 counter fix)</t>
        </is>
      </c>
    </row>
    <row r="14">
      <c r="B14" s="93" t="inlineStr">
        <is>
          <t>IM_5SP</t>
        </is>
      </c>
      <c r="C14" s="101" t="inlineStr">
        <is>
          <t>awaiting re-measurement (RV32 counter fix)</t>
        </is>
      </c>
    </row>
    <row r="15">
      <c r="B15" s="93" t="inlineStr">
        <is>
          <t>IM_6SP</t>
        </is>
      </c>
      <c r="C15" s="101" t="inlineStr">
        <is>
          <t>awaiting re-measurement (RV32 counter fix)</t>
        </is>
      </c>
    </row>
    <row r="16">
      <c r="B16" s="93" t="inlineStr">
        <is>
          <t>IM_7SP</t>
        </is>
      </c>
      <c r="C16" s="101" t="inlineStr">
        <is>
          <t>awaiting re-measurement (RV32 counter fix)</t>
        </is>
      </c>
    </row>
    <row r="17">
      <c r="B17" s="93" t="inlineStr">
        <is>
          <t>IM_7SP_BRAM</t>
        </is>
      </c>
      <c r="C17" s="101" t="inlineStr">
        <is>
          <t>awaiting re-measurement (RV32 counter fix)</t>
        </is>
      </c>
    </row>
    <row r="18">
      <c r="B18" s="93" t="inlineStr">
        <is>
          <t>IM_7SP_BRAM_Opt</t>
        </is>
      </c>
      <c r="C18" s="101" t="inlineStr">
        <is>
          <t>awaiting re-measurement (RV32 counter fix)</t>
        </is>
      </c>
    </row>
    <row r="19">
      <c r="B19" s="93" t="inlineStr">
        <is>
          <t>IM_8SP_withoutOpt</t>
        </is>
      </c>
      <c r="C19" s="101" t="inlineStr">
        <is>
          <t>awaiting re-measurement (RV32 counter fix)</t>
        </is>
      </c>
    </row>
    <row r="20">
      <c r="B20" s="93" t="inlineStr">
        <is>
          <t>IM_8SP</t>
        </is>
      </c>
      <c r="C20" s="101" t="inlineStr">
        <is>
          <t>awaiting re-measurement (RV32 counter fix)</t>
        </is>
      </c>
    </row>
    <row r="22">
      <c r="B22" s="91" t="inlineStr">
        <is>
          <t>RV32  nettle-aes</t>
        </is>
      </c>
      <c r="C22" s="92" t="inlineStr">
        <is>
          <t>FPGA cycles</t>
        </is>
      </c>
      <c r="D22" s="92" t="inlineStr">
        <is>
          <t>FPGA instret</t>
        </is>
      </c>
      <c r="E22" s="92" t="inlineStr">
        <is>
          <t>CPI</t>
        </is>
      </c>
      <c r="F22" s="92" t="inlineStr">
        <is>
          <t>sim cycles</t>
        </is>
      </c>
      <c r="G22" s="92" t="inlineStr">
        <is>
          <t>sim = FPGA?</t>
        </is>
      </c>
      <c r="H22" s="92" t="inlineStr">
        <is>
          <t>verify</t>
        </is>
      </c>
      <c r="I22" s="92" t="inlineStr">
        <is>
          <t>build MHz</t>
        </is>
      </c>
      <c r="J22" s="92" t="inlineStr">
        <is>
          <t>runtime ms</t>
        </is>
      </c>
    </row>
    <row r="23">
      <c r="B23" s="93" t="inlineStr">
        <is>
          <t>I_5SP</t>
        </is>
      </c>
      <c r="C23" s="101" t="inlineStr">
        <is>
          <t>awaiting re-measurement (RV32 counter fix)</t>
        </is>
      </c>
    </row>
    <row r="24">
      <c r="B24" s="93" t="inlineStr">
        <is>
          <t>IM_5SP</t>
        </is>
      </c>
      <c r="C24" s="101" t="inlineStr">
        <is>
          <t>awaiting re-measurement (RV32 counter fix)</t>
        </is>
      </c>
    </row>
    <row r="25">
      <c r="B25" s="93" t="inlineStr">
        <is>
          <t>IM_6SP</t>
        </is>
      </c>
      <c r="C25" s="101" t="inlineStr">
        <is>
          <t>awaiting re-measurement (RV32 counter fix)</t>
        </is>
      </c>
    </row>
    <row r="26">
      <c r="B26" s="93" t="inlineStr">
        <is>
          <t>IM_7SP</t>
        </is>
      </c>
      <c r="C26" s="101" t="inlineStr">
        <is>
          <t>awaiting re-measurement (RV32 counter fix)</t>
        </is>
      </c>
    </row>
    <row r="27">
      <c r="B27" s="93" t="inlineStr">
        <is>
          <t>IM_7SP_BRAM</t>
        </is>
      </c>
      <c r="C27" s="101" t="inlineStr">
        <is>
          <t>awaiting re-measurement (RV32 counter fix)</t>
        </is>
      </c>
    </row>
    <row r="28">
      <c r="B28" s="93" t="inlineStr">
        <is>
          <t>IM_7SP_BRAM_Opt</t>
        </is>
      </c>
      <c r="C28" s="101" t="inlineStr">
        <is>
          <t>awaiting re-measurement (RV32 counter fix)</t>
        </is>
      </c>
    </row>
    <row r="29">
      <c r="B29" s="93" t="inlineStr">
        <is>
          <t>IM_8SP_withoutOpt</t>
        </is>
      </c>
      <c r="C29" s="101" t="inlineStr">
        <is>
          <t>awaiting re-measurement (RV32 counter fix)</t>
        </is>
      </c>
    </row>
    <row r="30">
      <c r="B30" s="93" t="inlineStr">
        <is>
          <t>IM_8SP</t>
        </is>
      </c>
      <c r="C30" s="101" t="inlineStr">
        <is>
          <t>awaiting re-measurement (RV32 counter fix)</t>
        </is>
      </c>
    </row>
    <row r="32">
      <c r="B32" s="91" t="inlineStr">
        <is>
          <t>RV32  statemate</t>
        </is>
      </c>
      <c r="C32" s="92" t="inlineStr">
        <is>
          <t>FPGA cycles</t>
        </is>
      </c>
      <c r="D32" s="92" t="inlineStr">
        <is>
          <t>FPGA instret</t>
        </is>
      </c>
      <c r="E32" s="92" t="inlineStr">
        <is>
          <t>CPI</t>
        </is>
      </c>
      <c r="F32" s="92" t="inlineStr">
        <is>
          <t>sim cycles</t>
        </is>
      </c>
      <c r="G32" s="92" t="inlineStr">
        <is>
          <t>sim = FPGA?</t>
        </is>
      </c>
      <c r="H32" s="92" t="inlineStr">
        <is>
          <t>verify</t>
        </is>
      </c>
      <c r="I32" s="92" t="inlineStr">
        <is>
          <t>build MHz</t>
        </is>
      </c>
      <c r="J32" s="92" t="inlineStr">
        <is>
          <t>runtime ms</t>
        </is>
      </c>
    </row>
    <row r="33">
      <c r="B33" s="93" t="inlineStr">
        <is>
          <t>I_5SP</t>
        </is>
      </c>
      <c r="C33" s="101" t="inlineStr">
        <is>
          <t>awaiting re-measurement (RV32 counter fix)</t>
        </is>
      </c>
    </row>
    <row r="34">
      <c r="B34" s="93" t="inlineStr">
        <is>
          <t>IM_5SP</t>
        </is>
      </c>
      <c r="C34" s="101" t="inlineStr">
        <is>
          <t>awaiting re-measurement (RV32 counter fix)</t>
        </is>
      </c>
    </row>
    <row r="35">
      <c r="B35" s="93" t="inlineStr">
        <is>
          <t>IM_6SP</t>
        </is>
      </c>
      <c r="C35" s="101" t="inlineStr">
        <is>
          <t>awaiting re-measurement (RV32 counter fix)</t>
        </is>
      </c>
    </row>
    <row r="36">
      <c r="B36" s="93" t="inlineStr">
        <is>
          <t>IM_7SP</t>
        </is>
      </c>
      <c r="C36" s="101" t="inlineStr">
        <is>
          <t>awaiting re-measurement (RV32 counter fix)</t>
        </is>
      </c>
    </row>
    <row r="37">
      <c r="B37" s="93" t="inlineStr">
        <is>
          <t>IM_7SP_BRAM</t>
        </is>
      </c>
      <c r="C37" s="101" t="inlineStr">
        <is>
          <t>awaiting re-measurement (RV32 counter fix)</t>
        </is>
      </c>
    </row>
    <row r="38">
      <c r="B38" s="93" t="inlineStr">
        <is>
          <t>IM_7SP_BRAM_Opt</t>
        </is>
      </c>
      <c r="C38" s="101" t="inlineStr">
        <is>
          <t>awaiting re-measurement (RV32 counter fix)</t>
        </is>
      </c>
    </row>
    <row r="39">
      <c r="B39" s="93" t="inlineStr">
        <is>
          <t>IM_8SP_withoutOpt</t>
        </is>
      </c>
      <c r="C39" s="101" t="inlineStr">
        <is>
          <t>awaiting re-measurement (RV32 counter fix)</t>
        </is>
      </c>
    </row>
    <row r="40">
      <c r="B40" s="93" t="inlineStr">
        <is>
          <t>IM_8SP</t>
        </is>
      </c>
      <c r="C40" s="101" t="inlineStr">
        <is>
          <t>awaiting re-measurement (RV32 counter fix)</t>
        </is>
      </c>
    </row>
    <row r="42">
      <c r="B42" s="91" t="inlineStr">
        <is>
          <t>RV32  md5sum</t>
        </is>
      </c>
      <c r="C42" s="92" t="inlineStr">
        <is>
          <t>FPGA cycles</t>
        </is>
      </c>
      <c r="D42" s="92" t="inlineStr">
        <is>
          <t>FPGA instret</t>
        </is>
      </c>
      <c r="E42" s="92" t="inlineStr">
        <is>
          <t>CPI</t>
        </is>
      </c>
      <c r="F42" s="92" t="inlineStr">
        <is>
          <t>sim cycles</t>
        </is>
      </c>
      <c r="G42" s="92" t="inlineStr">
        <is>
          <t>sim = FPGA?</t>
        </is>
      </c>
      <c r="H42" s="92" t="inlineStr">
        <is>
          <t>verify</t>
        </is>
      </c>
      <c r="I42" s="92" t="inlineStr">
        <is>
          <t>build MHz</t>
        </is>
      </c>
      <c r="J42" s="92" t="inlineStr">
        <is>
          <t>runtime ms</t>
        </is>
      </c>
    </row>
    <row r="43">
      <c r="B43" s="93" t="inlineStr">
        <is>
          <t>I_5SP</t>
        </is>
      </c>
      <c r="C43" s="101" t="inlineStr">
        <is>
          <t>awaiting re-measurement (RV32 counter fix)</t>
        </is>
      </c>
    </row>
    <row r="44">
      <c r="B44" s="93" t="inlineStr">
        <is>
          <t>IM_5SP</t>
        </is>
      </c>
      <c r="C44" s="101" t="inlineStr">
        <is>
          <t>awaiting re-measurement (RV32 counter fix)</t>
        </is>
      </c>
    </row>
    <row r="45">
      <c r="B45" s="93" t="inlineStr">
        <is>
          <t>IM_6SP</t>
        </is>
      </c>
      <c r="C45" s="101" t="inlineStr">
        <is>
          <t>awaiting re-measurement (RV32 counter fix)</t>
        </is>
      </c>
    </row>
    <row r="46">
      <c r="B46" s="93" t="inlineStr">
        <is>
          <t>IM_7SP</t>
        </is>
      </c>
      <c r="C46" s="101" t="inlineStr">
        <is>
          <t>awaiting re-measurement (RV32 counter fix)</t>
        </is>
      </c>
    </row>
    <row r="47">
      <c r="B47" s="93" t="inlineStr">
        <is>
          <t>IM_7SP_BRAM</t>
        </is>
      </c>
      <c r="C47" s="101" t="inlineStr">
        <is>
          <t>awaiting re-measurement (RV32 counter fix)</t>
        </is>
      </c>
    </row>
    <row r="48">
      <c r="B48" s="93" t="inlineStr">
        <is>
          <t>IM_7SP_BRAM_Opt</t>
        </is>
      </c>
      <c r="C48" s="101" t="inlineStr">
        <is>
          <t>awaiting re-measurement (RV32 counter fix)</t>
        </is>
      </c>
    </row>
    <row r="49">
      <c r="B49" s="93" t="inlineStr">
        <is>
          <t>IM_8SP_withoutOpt</t>
        </is>
      </c>
      <c r="C49" s="101" t="inlineStr">
        <is>
          <t>awaiting re-measurement (RV32 counter fix)</t>
        </is>
      </c>
    </row>
    <row r="50">
      <c r="B50" s="93" t="inlineStr">
        <is>
          <t>IM_8SP</t>
        </is>
      </c>
      <c r="C50" s="101" t="inlineStr">
        <is>
          <t>awaiting re-measurement (RV32 counter fix)</t>
        </is>
      </c>
    </row>
    <row r="52">
      <c r="B52" s="91" t="inlineStr">
        <is>
          <t>RV32  SAIF power of the SoC build (CoreMark image)</t>
        </is>
      </c>
      <c r="C52" s="92" t="inlineStr">
        <is>
          <t>SoC Fmax</t>
        </is>
      </c>
      <c r="D52" s="92" t="inlineStr">
        <is>
          <t>Total W</t>
        </is>
      </c>
      <c r="E52" s="92" t="inlineStr">
        <is>
          <t>Dynamic</t>
        </is>
      </c>
      <c r="F52" s="92" t="inlineStr">
        <is>
          <t>Clocks</t>
        </is>
      </c>
      <c r="G52" s="92" t="inlineStr">
        <is>
          <t>Signals</t>
        </is>
      </c>
      <c r="H52" s="92" t="inlineStr">
        <is>
          <t>Logic</t>
        </is>
      </c>
      <c r="I52" s="92" t="inlineStr">
        <is>
          <t>BRAM</t>
        </is>
      </c>
      <c r="J52" s="92" t="inlineStr">
        <is>
          <t>DSP</t>
        </is>
      </c>
      <c r="K52" s="92" t="inlineStr">
        <is>
          <t>PLL</t>
        </is>
      </c>
      <c r="L52" s="92" t="inlineStr">
        <is>
          <t>I/O</t>
        </is>
      </c>
      <c r="M52" s="92" t="inlineStr">
        <is>
          <t>Static</t>
        </is>
      </c>
      <c r="N52" s="92" t="inlineStr">
        <is>
          <t>toggling %</t>
        </is>
      </c>
    </row>
    <row r="53">
      <c r="B53" s="93" t="inlineStr">
        <is>
          <t>I_5SP</t>
        </is>
      </c>
      <c r="C53" s="99" t="n">
        <v>45.279</v>
      </c>
      <c r="D53" s="99" t="n">
        <v>0.385</v>
      </c>
      <c r="E53" s="99" t="n">
        <v>0.233</v>
      </c>
      <c r="F53" s="99" t="n">
        <v>0.012</v>
      </c>
      <c r="G53" s="99" t="n">
        <v>0.076</v>
      </c>
      <c r="H53" s="99" t="n">
        <v>0.039</v>
      </c>
      <c r="I53" s="99" t="n">
        <v>0</v>
      </c>
      <c r="J53" s="99" t="n">
        <v>0</v>
      </c>
      <c r="K53" s="99" t="n">
        <v>0.103</v>
      </c>
      <c r="L53" s="99" t="n">
        <v>0.003</v>
      </c>
      <c r="M53" s="99" t="n">
        <v>0.152</v>
      </c>
      <c r="N53" s="100" t="n">
        <v>0.7301000000000001</v>
      </c>
    </row>
    <row r="54">
      <c r="B54" s="93" t="inlineStr">
        <is>
          <t>IM_5SP</t>
        </is>
      </c>
      <c r="C54" s="99" t="n">
        <v>43.128</v>
      </c>
      <c r="D54" s="99" t="n">
        <v>0.372</v>
      </c>
      <c r="E54" s="99" t="n">
        <v>0.22</v>
      </c>
      <c r="F54" s="99" t="n">
        <v>0.01</v>
      </c>
      <c r="G54" s="99" t="n">
        <v>0.064</v>
      </c>
      <c r="H54" s="99" t="n">
        <v>0.044</v>
      </c>
      <c r="I54" s="99" t="n">
        <v>0</v>
      </c>
      <c r="J54" s="99" t="n">
        <v>0</v>
      </c>
      <c r="K54" s="99" t="n">
        <v>0.1</v>
      </c>
      <c r="L54" s="99" t="n">
        <v>0.002</v>
      </c>
      <c r="M54" s="99" t="n">
        <v>0.152</v>
      </c>
      <c r="N54" s="100" t="n">
        <v>0.7031000000000001</v>
      </c>
    </row>
    <row r="55">
      <c r="B55" s="93" t="inlineStr">
        <is>
          <t>IM_6SP</t>
        </is>
      </c>
      <c r="C55" s="99" t="n">
        <v>50.07</v>
      </c>
      <c r="D55" s="99" t="n">
        <v>0.389</v>
      </c>
      <c r="E55" s="99" t="n">
        <v>0.237</v>
      </c>
      <c r="F55" s="99" t="n">
        <v>0.012</v>
      </c>
      <c r="G55" s="99" t="n">
        <v>0.07199999999999999</v>
      </c>
      <c r="H55" s="99" t="n">
        <v>0.051</v>
      </c>
      <c r="I55" s="99" t="n">
        <v>0</v>
      </c>
      <c r="J55" s="99" t="n">
        <v>0</v>
      </c>
      <c r="K55" s="99" t="n">
        <v>0.099</v>
      </c>
      <c r="L55" s="99" t="n">
        <v>0.003</v>
      </c>
      <c r="M55" s="99" t="n">
        <v>0.152</v>
      </c>
      <c r="N55" s="100" t="n">
        <v>0.7016</v>
      </c>
    </row>
    <row r="56">
      <c r="B56" s="93" t="inlineStr">
        <is>
          <t>IM_7SP</t>
        </is>
      </c>
      <c r="C56" s="99" t="n">
        <v>57.606</v>
      </c>
      <c r="D56" s="99" t="n">
        <v>0.371</v>
      </c>
      <c r="E56" s="99" t="n">
        <v>0.22</v>
      </c>
      <c r="F56" s="99" t="n">
        <v>0.012</v>
      </c>
      <c r="G56" s="99" t="n">
        <v>0.059</v>
      </c>
      <c r="H56" s="99" t="n">
        <v>0.034</v>
      </c>
      <c r="I56" s="99" t="n">
        <v>0</v>
      </c>
      <c r="J56" s="99" t="n">
        <v>0</v>
      </c>
      <c r="K56" s="99" t="n">
        <v>0.112</v>
      </c>
      <c r="L56" s="99" t="n">
        <v>0.003</v>
      </c>
      <c r="M56" s="99" t="n">
        <v>0.152</v>
      </c>
      <c r="N56" s="100" t="n">
        <v>0.6617000000000001</v>
      </c>
    </row>
    <row r="57">
      <c r="B57" s="93" t="inlineStr">
        <is>
          <t>IM_7SP_BRAM</t>
        </is>
      </c>
      <c r="C57" s="99" t="n">
        <v>72.07299999999999</v>
      </c>
      <c r="D57" s="99" t="n">
        <v>0.335</v>
      </c>
      <c r="E57" s="99" t="n">
        <v>0.182</v>
      </c>
      <c r="F57" s="99" t="n">
        <v>0.011</v>
      </c>
      <c r="G57" s="99" t="n">
        <v>0.017</v>
      </c>
      <c r="H57" s="99" t="n">
        <v>0.007</v>
      </c>
      <c r="I57" s="99" t="n">
        <v>0.031</v>
      </c>
      <c r="J57" s="99" t="n">
        <v>0</v>
      </c>
      <c r="K57" s="99" t="n">
        <v>0.113</v>
      </c>
      <c r="L57" s="99" t="n">
        <v>0.003</v>
      </c>
      <c r="M57" s="99" t="n">
        <v>0.153</v>
      </c>
      <c r="N57" s="100" t="n">
        <v>0.5006</v>
      </c>
    </row>
    <row r="58">
      <c r="B58" s="93" t="inlineStr">
        <is>
          <t>IM_7SP_BRAM_Opt</t>
        </is>
      </c>
      <c r="C58" s="99" t="n">
        <v>92.14400000000001</v>
      </c>
      <c r="D58" s="99" t="n">
        <v>0.323</v>
      </c>
      <c r="E58" s="99" t="n">
        <v>0.171</v>
      </c>
      <c r="F58" s="99" t="n">
        <v>0.01</v>
      </c>
      <c r="G58" s="99" t="n">
        <v>0.017</v>
      </c>
      <c r="H58" s="99" t="n">
        <v>0.008999999999999999</v>
      </c>
      <c r="I58" s="99" t="n">
        <v>0.03</v>
      </c>
      <c r="J58" s="99" t="n">
        <v>0</v>
      </c>
      <c r="K58" s="99" t="n">
        <v>0.103</v>
      </c>
      <c r="L58" s="99" t="n">
        <v>0.002</v>
      </c>
      <c r="M58" s="99" t="n">
        <v>0.152</v>
      </c>
      <c r="N58" s="100" t="n">
        <v>0.6235000000000001</v>
      </c>
    </row>
    <row r="59">
      <c r="B59" s="93" t="inlineStr">
        <is>
          <t>IM_8SP_withoutOpt</t>
        </is>
      </c>
      <c r="C59" s="99" t="n">
        <v>114.3</v>
      </c>
      <c r="D59" s="99" t="n">
        <v>0.358</v>
      </c>
      <c r="E59" s="99" t="n">
        <v>0.205</v>
      </c>
      <c r="F59" s="99" t="n">
        <v>0.013</v>
      </c>
      <c r="G59" s="99" t="n">
        <v>0.024</v>
      </c>
      <c r="H59" s="99" t="n">
        <v>0.011</v>
      </c>
      <c r="I59" s="99" t="n">
        <v>0.037</v>
      </c>
      <c r="J59" s="99" t="n">
        <v>0</v>
      </c>
      <c r="K59" s="99" t="n">
        <v>0.117</v>
      </c>
      <c r="L59" s="99" t="n">
        <v>0.003</v>
      </c>
      <c r="M59" s="99" t="n">
        <v>0.153</v>
      </c>
      <c r="N59" s="100" t="n">
        <v>0.6284000000000001</v>
      </c>
    </row>
    <row r="60">
      <c r="B60" s="93" t="inlineStr">
        <is>
          <t>IM_8SP</t>
        </is>
      </c>
      <c r="C60" s="99" t="n">
        <v>122.179</v>
      </c>
      <c r="D60" s="99" t="n">
        <v>0.34</v>
      </c>
      <c r="E60" s="99" t="n">
        <v>0.203</v>
      </c>
      <c r="F60" s="99" t="n">
        <v>0.014</v>
      </c>
      <c r="G60" s="99" t="n">
        <v>0.019</v>
      </c>
      <c r="H60" s="99" t="n">
        <v>0.008999999999999999</v>
      </c>
      <c r="I60" s="99" t="n">
        <v>0.037</v>
      </c>
      <c r="J60" s="99" t="n">
        <v>0</v>
      </c>
      <c r="K60" s="99" t="n">
        <v>0.122</v>
      </c>
      <c r="L60" s="99" t="n">
        <v>0.002</v>
      </c>
      <c r="M60" s="99" t="n">
        <v>0.136</v>
      </c>
      <c r="N60" s="100" t="n">
        <v>0.6179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I45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4" customWidth="1" min="3" max="3"/>
    <col width="16" customWidth="1" min="4" max="4"/>
    <col width="16" customWidth="1" min="5" max="5"/>
    <col width="16" customWidth="1" min="6" max="6"/>
    <col width="16" customWidth="1" min="7" max="7"/>
    <col width="12" customWidth="1" min="8" max="8"/>
    <col width="12" customWidth="1" min="9" max="9"/>
  </cols>
  <sheetData>
    <row r="2">
      <c r="B2" s="91" t="inlineStr">
        <is>
          <t>FPGA vs RTL simulation: mcycle / minstret</t>
        </is>
      </c>
      <c r="C2" s="92" t="inlineStr">
        <is>
          <t>benchmark</t>
        </is>
      </c>
      <c r="D2" s="92" t="inlineStr">
        <is>
          <t>FPGA cycles</t>
        </is>
      </c>
      <c r="E2" s="92" t="inlineStr">
        <is>
          <t>sim cycles</t>
        </is>
      </c>
      <c r="F2" s="92" t="inlineStr">
        <is>
          <t>FPGA instret</t>
        </is>
      </c>
      <c r="G2" s="92" t="inlineStr">
        <is>
          <t>sim instret</t>
        </is>
      </c>
      <c r="H2" s="92" t="inlineStr">
        <is>
          <t>cycles</t>
        </is>
      </c>
      <c r="I2" s="92" t="inlineStr">
        <is>
          <t>instret</t>
        </is>
      </c>
    </row>
    <row r="3">
      <c r="B3" s="93" t="inlineStr">
        <is>
          <t>RV64IM_5SP</t>
        </is>
      </c>
      <c r="C3" s="102" t="inlineStr">
        <is>
          <t>crc32</t>
        </is>
      </c>
      <c r="D3" s="94" t="n">
        <v>5579135</v>
      </c>
      <c r="E3" s="94" t="n">
        <v>5579135</v>
      </c>
      <c r="F3" s="94" t="n">
        <v>4183741</v>
      </c>
      <c r="G3" s="94" t="n">
        <v>4183741</v>
      </c>
      <c r="H3" s="96" t="inlineStr">
        <is>
          <t>EXACT</t>
        </is>
      </c>
      <c r="I3" s="96" t="inlineStr">
        <is>
          <t>EXACT</t>
        </is>
      </c>
    </row>
    <row r="4">
      <c r="B4" s="93" t="inlineStr">
        <is>
          <t>RV64IM_5SP</t>
        </is>
      </c>
      <c r="C4" s="102" t="inlineStr">
        <is>
          <t>matmult-int</t>
        </is>
      </c>
      <c r="D4" s="94" t="n">
        <v>4300725</v>
      </c>
      <c r="E4" s="94" t="n">
        <v>4300725</v>
      </c>
      <c r="F4" s="94" t="n">
        <v>3016347</v>
      </c>
      <c r="G4" s="94" t="n">
        <v>3016347</v>
      </c>
      <c r="H4" s="96" t="inlineStr">
        <is>
          <t>EXACT</t>
        </is>
      </c>
      <c r="I4" s="96" t="inlineStr">
        <is>
          <t>EXACT</t>
        </is>
      </c>
    </row>
    <row r="5">
      <c r="B5" s="93" t="inlineStr">
        <is>
          <t>RV64IM_5SP</t>
        </is>
      </c>
      <c r="C5" s="102" t="inlineStr">
        <is>
          <t>md5sum</t>
        </is>
      </c>
      <c r="D5" s="94" t="n">
        <v>3165316</v>
      </c>
      <c r="E5" s="94" t="n">
        <v>3165316</v>
      </c>
      <c r="F5" s="94" t="n">
        <v>2545544</v>
      </c>
      <c r="G5" s="94" t="n">
        <v>2545544</v>
      </c>
      <c r="H5" s="96" t="inlineStr">
        <is>
          <t>EXACT</t>
        </is>
      </c>
      <c r="I5" s="96" t="inlineStr">
        <is>
          <t>EXACT</t>
        </is>
      </c>
    </row>
    <row r="6">
      <c r="B6" s="93" t="inlineStr">
        <is>
          <t>RV64IM_5SP</t>
        </is>
      </c>
      <c r="C6" s="102" t="inlineStr">
        <is>
          <t>nettle-aes</t>
        </is>
      </c>
      <c r="D6" s="94" t="n">
        <v>5265973</v>
      </c>
      <c r="E6" s="94" t="n">
        <v>5265973</v>
      </c>
      <c r="F6" s="94" t="n">
        <v>4869827</v>
      </c>
      <c r="G6" s="94" t="n">
        <v>4869827</v>
      </c>
      <c r="H6" s="96" t="inlineStr">
        <is>
          <t>EXACT</t>
        </is>
      </c>
      <c r="I6" s="96" t="inlineStr">
        <is>
          <t>EXACT</t>
        </is>
      </c>
    </row>
    <row r="7">
      <c r="B7" s="93" t="inlineStr">
        <is>
          <t>RV64IM_5SP</t>
        </is>
      </c>
      <c r="C7" s="102" t="inlineStr">
        <is>
          <t>statemate</t>
        </is>
      </c>
      <c r="D7" s="94" t="n">
        <v>3633109</v>
      </c>
      <c r="E7" s="94" t="n">
        <v>3633109</v>
      </c>
      <c r="F7" s="94" t="n">
        <v>3300079</v>
      </c>
      <c r="G7" s="94" t="n">
        <v>3300079</v>
      </c>
      <c r="H7" s="96" t="inlineStr">
        <is>
          <t>EXACT</t>
        </is>
      </c>
      <c r="I7" s="96" t="inlineStr">
        <is>
          <t>EXACT</t>
        </is>
      </c>
    </row>
    <row r="8">
      <c r="B8" s="93" t="inlineStr">
        <is>
          <t>RV64IM_6SP</t>
        </is>
      </c>
      <c r="C8" s="102" t="inlineStr">
        <is>
          <t>crc32</t>
        </is>
      </c>
      <c r="D8" s="94" t="n">
        <v>5579648</v>
      </c>
      <c r="E8" s="94" t="n">
        <v>5579648</v>
      </c>
      <c r="F8" s="94" t="n">
        <v>4183740</v>
      </c>
      <c r="G8" s="94" t="n">
        <v>4183740</v>
      </c>
      <c r="H8" s="96" t="inlineStr">
        <is>
          <t>EXACT</t>
        </is>
      </c>
      <c r="I8" s="96" t="inlineStr">
        <is>
          <t>EXACT</t>
        </is>
      </c>
    </row>
    <row r="9">
      <c r="B9" s="93" t="inlineStr">
        <is>
          <t>RV64IM_6SP</t>
        </is>
      </c>
      <c r="C9" s="102" t="inlineStr">
        <is>
          <t>matmult-int</t>
        </is>
      </c>
      <c r="D9" s="94" t="n">
        <v>4318548</v>
      </c>
      <c r="E9" s="94" t="n">
        <v>4318548</v>
      </c>
      <c r="F9" s="94" t="n">
        <v>3016346</v>
      </c>
      <c r="G9" s="94" t="n">
        <v>3016346</v>
      </c>
      <c r="H9" s="96" t="inlineStr">
        <is>
          <t>EXACT</t>
        </is>
      </c>
      <c r="I9" s="96" t="inlineStr">
        <is>
          <t>EXACT</t>
        </is>
      </c>
    </row>
    <row r="10">
      <c r="B10" s="93" t="inlineStr">
        <is>
          <t>RV64IM_6SP</t>
        </is>
      </c>
      <c r="C10" s="102" t="inlineStr">
        <is>
          <t>md5sum</t>
        </is>
      </c>
      <c r="D10" s="94" t="n">
        <v>3219768</v>
      </c>
      <c r="E10" s="94" t="n">
        <v>3219768</v>
      </c>
      <c r="F10" s="94" t="n">
        <v>2545543</v>
      </c>
      <c r="G10" s="94" t="n">
        <v>2545543</v>
      </c>
      <c r="H10" s="96" t="inlineStr">
        <is>
          <t>EXACT</t>
        </is>
      </c>
      <c r="I10" s="96" t="inlineStr">
        <is>
          <t>EXACT</t>
        </is>
      </c>
    </row>
    <row r="11">
      <c r="B11" s="93" t="inlineStr">
        <is>
          <t>RV64IM_6SP</t>
        </is>
      </c>
      <c r="C11" s="102" t="inlineStr">
        <is>
          <t>nettle-aes</t>
        </is>
      </c>
      <c r="D11" s="94" t="n">
        <v>5298275</v>
      </c>
      <c r="E11" s="94" t="n">
        <v>5298275</v>
      </c>
      <c r="F11" s="94" t="n">
        <v>4869826</v>
      </c>
      <c r="G11" s="94" t="n">
        <v>4869826</v>
      </c>
      <c r="H11" s="96" t="inlineStr">
        <is>
          <t>EXACT</t>
        </is>
      </c>
      <c r="I11" s="96" t="inlineStr">
        <is>
          <t>EXACT</t>
        </is>
      </c>
    </row>
    <row r="12">
      <c r="B12" s="93" t="inlineStr">
        <is>
          <t>RV64IM_6SP</t>
        </is>
      </c>
      <c r="C12" s="102" t="inlineStr">
        <is>
          <t>statemate</t>
        </is>
      </c>
      <c r="D12" s="94" t="n">
        <v>3859549</v>
      </c>
      <c r="E12" s="94" t="n">
        <v>3859549</v>
      </c>
      <c r="F12" s="94" t="n">
        <v>3300078</v>
      </c>
      <c r="G12" s="94" t="n">
        <v>3300078</v>
      </c>
      <c r="H12" s="96" t="inlineStr">
        <is>
          <t>EXACT</t>
        </is>
      </c>
      <c r="I12" s="96" t="inlineStr">
        <is>
          <t>EXACT</t>
        </is>
      </c>
    </row>
    <row r="13">
      <c r="B13" s="93" t="inlineStr">
        <is>
          <t>RV64IM_7SP</t>
        </is>
      </c>
      <c r="C13" s="102" t="inlineStr">
        <is>
          <t>crc32</t>
        </is>
      </c>
      <c r="D13" s="94" t="n">
        <v>6626856</v>
      </c>
      <c r="E13" s="94" t="n">
        <v>6626856</v>
      </c>
      <c r="F13" s="94" t="n">
        <v>4183740</v>
      </c>
      <c r="G13" s="94" t="n">
        <v>4183740</v>
      </c>
      <c r="H13" s="96" t="inlineStr">
        <is>
          <t>EXACT</t>
        </is>
      </c>
      <c r="I13" s="96" t="inlineStr">
        <is>
          <t>EXACT</t>
        </is>
      </c>
    </row>
    <row r="14">
      <c r="B14" s="93" t="inlineStr">
        <is>
          <t>RV64IM_7SP</t>
        </is>
      </c>
      <c r="C14" s="102" t="inlineStr">
        <is>
          <t>matmult-int</t>
        </is>
      </c>
      <c r="D14" s="94" t="n">
        <v>4984130</v>
      </c>
      <c r="E14" s="94" t="n">
        <v>4984130</v>
      </c>
      <c r="F14" s="94" t="n">
        <v>3016346</v>
      </c>
      <c r="G14" s="94" t="n">
        <v>3016346</v>
      </c>
      <c r="H14" s="96" t="inlineStr">
        <is>
          <t>EXACT</t>
        </is>
      </c>
      <c r="I14" s="96" t="inlineStr">
        <is>
          <t>EXACT</t>
        </is>
      </c>
    </row>
    <row r="15">
      <c r="B15" s="93" t="inlineStr">
        <is>
          <t>RV64IM_7SP</t>
        </is>
      </c>
      <c r="C15" s="102" t="inlineStr">
        <is>
          <t>md5sum</t>
        </is>
      </c>
      <c r="D15" s="94" t="n">
        <v>4118828</v>
      </c>
      <c r="E15" s="94" t="n">
        <v>4118828</v>
      </c>
      <c r="F15" s="94" t="n">
        <v>2545543</v>
      </c>
      <c r="G15" s="94" t="n">
        <v>2545543</v>
      </c>
      <c r="H15" s="96" t="inlineStr">
        <is>
          <t>EXACT</t>
        </is>
      </c>
      <c r="I15" s="96" t="inlineStr">
        <is>
          <t>EXACT</t>
        </is>
      </c>
    </row>
    <row r="16">
      <c r="B16" s="93" t="inlineStr">
        <is>
          <t>RV64IM_7SP</t>
        </is>
      </c>
      <c r="C16" s="102" t="inlineStr">
        <is>
          <t>nettle-aes</t>
        </is>
      </c>
      <c r="D16" s="94" t="n">
        <v>5532365</v>
      </c>
      <c r="E16" s="94" t="n">
        <v>5532365</v>
      </c>
      <c r="F16" s="94" t="n">
        <v>4869826</v>
      </c>
      <c r="G16" s="94" t="n">
        <v>4869826</v>
      </c>
      <c r="H16" s="96" t="inlineStr">
        <is>
          <t>EXACT</t>
        </is>
      </c>
      <c r="I16" s="96" t="inlineStr">
        <is>
          <t>EXACT</t>
        </is>
      </c>
    </row>
    <row r="17">
      <c r="B17" s="93" t="inlineStr">
        <is>
          <t>RV64IM_7SP</t>
        </is>
      </c>
      <c r="C17" s="102" t="inlineStr">
        <is>
          <t>statemate</t>
        </is>
      </c>
      <c r="D17" s="94" t="n">
        <v>4372375</v>
      </c>
      <c r="E17" s="94" t="n">
        <v>4372375</v>
      </c>
      <c r="F17" s="94" t="n">
        <v>3300078</v>
      </c>
      <c r="G17" s="94" t="n">
        <v>3300078</v>
      </c>
      <c r="H17" s="96" t="inlineStr">
        <is>
          <t>EXACT</t>
        </is>
      </c>
      <c r="I17" s="96" t="inlineStr">
        <is>
          <t>EXACT</t>
        </is>
      </c>
    </row>
    <row r="18">
      <c r="B18" s="93" t="inlineStr">
        <is>
          <t>RV64IM_7SP_BRAM</t>
        </is>
      </c>
      <c r="C18" s="102" t="inlineStr">
        <is>
          <t>crc32</t>
        </is>
      </c>
      <c r="D18" s="94" t="n">
        <v>6801967</v>
      </c>
      <c r="E18" s="94" t="n">
        <v>6801967</v>
      </c>
      <c r="F18" s="94" t="n">
        <v>4183740</v>
      </c>
      <c r="G18" s="94" t="n">
        <v>4183740</v>
      </c>
      <c r="H18" s="96" t="inlineStr">
        <is>
          <t>EXACT</t>
        </is>
      </c>
      <c r="I18" s="96" t="inlineStr">
        <is>
          <t>EXACT</t>
        </is>
      </c>
    </row>
    <row r="19">
      <c r="B19" s="93" t="inlineStr">
        <is>
          <t>RV64IM_7SP_BRAM</t>
        </is>
      </c>
      <c r="C19" s="102" t="inlineStr">
        <is>
          <t>matmult-int</t>
        </is>
      </c>
      <c r="D19" s="94" t="n">
        <v>5385336</v>
      </c>
      <c r="E19" s="94" t="n">
        <v>5385336</v>
      </c>
      <c r="F19" s="94" t="n">
        <v>3016346</v>
      </c>
      <c r="G19" s="94" t="n">
        <v>3016346</v>
      </c>
      <c r="H19" s="96" t="inlineStr">
        <is>
          <t>EXACT</t>
        </is>
      </c>
      <c r="I19" s="96" t="inlineStr">
        <is>
          <t>EXACT</t>
        </is>
      </c>
    </row>
    <row r="20">
      <c r="B20" s="93" t="inlineStr">
        <is>
          <t>RV64IM_7SP_BRAM</t>
        </is>
      </c>
      <c r="C20" s="102" t="inlineStr">
        <is>
          <t>md5sum</t>
        </is>
      </c>
      <c r="D20" s="94" t="n">
        <v>4210911</v>
      </c>
      <c r="E20" s="94" t="n">
        <v>4210911</v>
      </c>
      <c r="F20" s="94" t="n">
        <v>2545543</v>
      </c>
      <c r="G20" s="94" t="n">
        <v>2545543</v>
      </c>
      <c r="H20" s="96" t="inlineStr">
        <is>
          <t>EXACT</t>
        </is>
      </c>
      <c r="I20" s="96" t="inlineStr">
        <is>
          <t>EXACT</t>
        </is>
      </c>
    </row>
    <row r="21">
      <c r="B21" s="93" t="inlineStr">
        <is>
          <t>RV64IM_7SP_BRAM</t>
        </is>
      </c>
      <c r="C21" s="102" t="inlineStr">
        <is>
          <t>nettle-aes</t>
        </is>
      </c>
      <c r="D21" s="94" t="n">
        <v>5592571</v>
      </c>
      <c r="E21" s="94" t="n">
        <v>5592571</v>
      </c>
      <c r="F21" s="94" t="n">
        <v>4869826</v>
      </c>
      <c r="G21" s="94" t="n">
        <v>4869826</v>
      </c>
      <c r="H21" s="96" t="inlineStr">
        <is>
          <t>EXACT</t>
        </is>
      </c>
      <c r="I21" s="96" t="inlineStr">
        <is>
          <t>EXACT</t>
        </is>
      </c>
    </row>
    <row r="22">
      <c r="B22" s="93" t="inlineStr">
        <is>
          <t>RV64IM_7SP_BRAM</t>
        </is>
      </c>
      <c r="C22" s="102" t="inlineStr">
        <is>
          <t>statemate</t>
        </is>
      </c>
      <c r="D22" s="94" t="n">
        <v>5188238</v>
      </c>
      <c r="E22" s="94" t="n">
        <v>5188238</v>
      </c>
      <c r="F22" s="94" t="n">
        <v>3300078</v>
      </c>
      <c r="G22" s="94" t="n">
        <v>3300078</v>
      </c>
      <c r="H22" s="96" t="inlineStr">
        <is>
          <t>EXACT</t>
        </is>
      </c>
      <c r="I22" s="96" t="inlineStr">
        <is>
          <t>EXACT</t>
        </is>
      </c>
    </row>
    <row r="23">
      <c r="B23" s="93" t="inlineStr">
        <is>
          <t>RV64IM_7SP_BRAM_Opt</t>
        </is>
      </c>
      <c r="C23" s="102" t="inlineStr">
        <is>
          <t>crc32</t>
        </is>
      </c>
      <c r="D23" s="94" t="n">
        <v>7150953</v>
      </c>
      <c r="E23" s="94" t="n">
        <v>7150953</v>
      </c>
      <c r="F23" s="94" t="n">
        <v>4183727</v>
      </c>
      <c r="G23" s="94" t="n">
        <v>4183727</v>
      </c>
      <c r="H23" s="96" t="inlineStr">
        <is>
          <t>EXACT</t>
        </is>
      </c>
      <c r="I23" s="96" t="inlineStr">
        <is>
          <t>EXACT</t>
        </is>
      </c>
    </row>
    <row r="24">
      <c r="B24" s="93" t="inlineStr">
        <is>
          <t>RV64IM_7SP_BRAM_Opt</t>
        </is>
      </c>
      <c r="C24" s="102" t="inlineStr">
        <is>
          <t>matmult-int</t>
        </is>
      </c>
      <c r="D24" s="94" t="n">
        <v>5385664</v>
      </c>
      <c r="E24" s="94" t="n">
        <v>5385664</v>
      </c>
      <c r="F24" s="94" t="n">
        <v>3016333</v>
      </c>
      <c r="G24" s="94" t="n">
        <v>3016333</v>
      </c>
      <c r="H24" s="96" t="inlineStr">
        <is>
          <t>EXACT</t>
        </is>
      </c>
      <c r="I24" s="96" t="inlineStr">
        <is>
          <t>EXACT</t>
        </is>
      </c>
    </row>
    <row r="25">
      <c r="B25" s="93" t="inlineStr">
        <is>
          <t>RV64IM_7SP_BRAM_Opt</t>
        </is>
      </c>
      <c r="C25" s="102" t="inlineStr">
        <is>
          <t>md5sum</t>
        </is>
      </c>
      <c r="D25" s="94" t="n">
        <v>4364931</v>
      </c>
      <c r="E25" s="94" t="n">
        <v>4364931</v>
      </c>
      <c r="F25" s="94" t="n">
        <v>2545530</v>
      </c>
      <c r="G25" s="94" t="n">
        <v>2545530</v>
      </c>
      <c r="H25" s="96" t="inlineStr">
        <is>
          <t>EXACT</t>
        </is>
      </c>
      <c r="I25" s="96" t="inlineStr">
        <is>
          <t>EXACT</t>
        </is>
      </c>
    </row>
    <row r="26">
      <c r="B26" s="93" t="inlineStr">
        <is>
          <t>RV64IM_7SP_BRAM_Opt</t>
        </is>
      </c>
      <c r="C26" s="102" t="inlineStr">
        <is>
          <t>nettle-aes</t>
        </is>
      </c>
      <c r="D26" s="94" t="n">
        <v>5640656</v>
      </c>
      <c r="E26" s="94" t="n">
        <v>5640656</v>
      </c>
      <c r="F26" s="94" t="n">
        <v>4869813</v>
      </c>
      <c r="G26" s="94" t="n">
        <v>4869813</v>
      </c>
      <c r="H26" s="96" t="inlineStr">
        <is>
          <t>EXACT</t>
        </is>
      </c>
      <c r="I26" s="96" t="inlineStr">
        <is>
          <t>EXACT</t>
        </is>
      </c>
    </row>
    <row r="27">
      <c r="B27" s="93" t="inlineStr">
        <is>
          <t>RV64IM_7SP_BRAM_Opt</t>
        </is>
      </c>
      <c r="C27" s="102" t="inlineStr">
        <is>
          <t>statemate</t>
        </is>
      </c>
      <c r="D27" s="94" t="n">
        <v>5281455</v>
      </c>
      <c r="E27" s="94" t="n">
        <v>5281455</v>
      </c>
      <c r="F27" s="94" t="n">
        <v>3300065</v>
      </c>
      <c r="G27" s="94" t="n">
        <v>3300065</v>
      </c>
      <c r="H27" s="96" t="inlineStr">
        <is>
          <t>EXACT</t>
        </is>
      </c>
      <c r="I27" s="96" t="inlineStr">
        <is>
          <t>EXACT</t>
        </is>
      </c>
    </row>
    <row r="28">
      <c r="B28" s="93" t="inlineStr">
        <is>
          <t>RV64IM_8SP</t>
        </is>
      </c>
      <c r="C28" s="102" t="inlineStr">
        <is>
          <t>crc32</t>
        </is>
      </c>
      <c r="D28" s="94" t="n">
        <v>9242133</v>
      </c>
      <c r="E28" s="94" t="n">
        <v>9242133</v>
      </c>
      <c r="F28" s="94" t="n">
        <v>4183727</v>
      </c>
      <c r="G28" s="94" t="n">
        <v>4183727</v>
      </c>
      <c r="H28" s="96" t="inlineStr">
        <is>
          <t>EXACT</t>
        </is>
      </c>
      <c r="I28" s="96" t="inlineStr">
        <is>
          <t>EXACT</t>
        </is>
      </c>
    </row>
    <row r="29">
      <c r="B29" s="93" t="inlineStr">
        <is>
          <t>RV64IM_8SP</t>
        </is>
      </c>
      <c r="C29" s="102" t="inlineStr">
        <is>
          <t>matmult-int</t>
        </is>
      </c>
      <c r="D29" s="94" t="n">
        <v>5767638</v>
      </c>
      <c r="E29" s="94" t="n">
        <v>5767638</v>
      </c>
      <c r="F29" s="94" t="n">
        <v>3016333</v>
      </c>
      <c r="G29" s="94" t="n">
        <v>3016333</v>
      </c>
      <c r="H29" s="96" t="inlineStr">
        <is>
          <t>EXACT</t>
        </is>
      </c>
      <c r="I29" s="96" t="inlineStr">
        <is>
          <t>EXACT</t>
        </is>
      </c>
    </row>
    <row r="30">
      <c r="B30" s="93" t="inlineStr">
        <is>
          <t>RV64IM_8SP</t>
        </is>
      </c>
      <c r="C30" s="102" t="inlineStr">
        <is>
          <t>md5sum</t>
        </is>
      </c>
      <c r="D30" s="94" t="n">
        <v>5326498</v>
      </c>
      <c r="E30" s="94" t="n">
        <v>5326498</v>
      </c>
      <c r="F30" s="94" t="n">
        <v>2545530</v>
      </c>
      <c r="G30" s="94" t="n">
        <v>2545530</v>
      </c>
      <c r="H30" s="96" t="inlineStr">
        <is>
          <t>EXACT</t>
        </is>
      </c>
      <c r="I30" s="96" t="inlineStr">
        <is>
          <t>EXACT</t>
        </is>
      </c>
    </row>
    <row r="31">
      <c r="B31" s="93" t="inlineStr">
        <is>
          <t>RV64IM_8SP</t>
        </is>
      </c>
      <c r="C31" s="102" t="inlineStr">
        <is>
          <t>nettle-aes</t>
        </is>
      </c>
      <c r="D31" s="94" t="n">
        <v>6467090</v>
      </c>
      <c r="E31" s="94" t="n">
        <v>6467090</v>
      </c>
      <c r="F31" s="94" t="n">
        <v>4869813</v>
      </c>
      <c r="G31" s="94" t="n">
        <v>4869813</v>
      </c>
      <c r="H31" s="96" t="inlineStr">
        <is>
          <t>EXACT</t>
        </is>
      </c>
      <c r="I31" s="96" t="inlineStr">
        <is>
          <t>EXACT</t>
        </is>
      </c>
    </row>
    <row r="32">
      <c r="B32" s="93" t="inlineStr">
        <is>
          <t>RV64IM_8SP</t>
        </is>
      </c>
      <c r="C32" s="102" t="inlineStr">
        <is>
          <t>statemate</t>
        </is>
      </c>
      <c r="D32" s="94" t="n">
        <v>7066343</v>
      </c>
      <c r="E32" s="94" t="n">
        <v>7066343</v>
      </c>
      <c r="F32" s="94" t="n">
        <v>3300065</v>
      </c>
      <c r="G32" s="94" t="n">
        <v>3300065</v>
      </c>
      <c r="H32" s="96" t="inlineStr">
        <is>
          <t>EXACT</t>
        </is>
      </c>
      <c r="I32" s="96" t="inlineStr">
        <is>
          <t>EXACT</t>
        </is>
      </c>
    </row>
    <row r="33">
      <c r="B33" s="93" t="inlineStr">
        <is>
          <t>RV64IM_8SP_withoutOpt</t>
        </is>
      </c>
      <c r="C33" s="102" t="inlineStr">
        <is>
          <t>crc32</t>
        </is>
      </c>
      <c r="D33" s="94" t="n">
        <v>8893118</v>
      </c>
      <c r="E33" s="94" t="n">
        <v>8893118</v>
      </c>
      <c r="F33" s="94" t="n">
        <v>4183727</v>
      </c>
      <c r="G33" s="94" t="n">
        <v>4183727</v>
      </c>
      <c r="H33" s="96" t="inlineStr">
        <is>
          <t>EXACT</t>
        </is>
      </c>
      <c r="I33" s="96" t="inlineStr">
        <is>
          <t>EXACT</t>
        </is>
      </c>
    </row>
    <row r="34">
      <c r="B34" s="93" t="inlineStr">
        <is>
          <t>RV64IM_8SP_withoutOpt</t>
        </is>
      </c>
      <c r="C34" s="102" t="inlineStr">
        <is>
          <t>matmult-int</t>
        </is>
      </c>
      <c r="D34" s="94" t="n">
        <v>5767281</v>
      </c>
      <c r="E34" s="94" t="n">
        <v>5767281</v>
      </c>
      <c r="F34" s="94" t="n">
        <v>3016333</v>
      </c>
      <c r="G34" s="94" t="n">
        <v>3016333</v>
      </c>
      <c r="H34" s="96" t="inlineStr">
        <is>
          <t>EXACT</t>
        </is>
      </c>
      <c r="I34" s="96" t="inlineStr">
        <is>
          <t>EXACT</t>
        </is>
      </c>
    </row>
    <row r="35">
      <c r="B35" s="93" t="inlineStr">
        <is>
          <t>RV64IM_8SP_withoutOpt</t>
        </is>
      </c>
      <c r="C35" s="102" t="inlineStr">
        <is>
          <t>md5sum</t>
        </is>
      </c>
      <c r="D35" s="94" t="n">
        <v>5172449</v>
      </c>
      <c r="E35" s="94" t="n">
        <v>5172449</v>
      </c>
      <c r="F35" s="94" t="n">
        <v>2545530</v>
      </c>
      <c r="G35" s="94" t="n">
        <v>2545530</v>
      </c>
      <c r="H35" s="96" t="inlineStr">
        <is>
          <t>EXACT</t>
        </is>
      </c>
      <c r="I35" s="96" t="inlineStr">
        <is>
          <t>EXACT</t>
        </is>
      </c>
    </row>
    <row r="36">
      <c r="B36" s="93" t="inlineStr">
        <is>
          <t>RV64IM_8SP_withoutOpt</t>
        </is>
      </c>
      <c r="C36" s="102" t="inlineStr">
        <is>
          <t>nettle-aes</t>
        </is>
      </c>
      <c r="D36" s="94" t="n">
        <v>6418976</v>
      </c>
      <c r="E36" s="94" t="n">
        <v>6418976</v>
      </c>
      <c r="F36" s="94" t="n">
        <v>4869813</v>
      </c>
      <c r="G36" s="94" t="n">
        <v>4869813</v>
      </c>
      <c r="H36" s="96" t="inlineStr">
        <is>
          <t>EXACT</t>
        </is>
      </c>
      <c r="I36" s="96" t="inlineStr">
        <is>
          <t>EXACT</t>
        </is>
      </c>
    </row>
    <row r="37">
      <c r="B37" s="93" t="inlineStr">
        <is>
          <t>RV64IM_8SP_withoutOpt</t>
        </is>
      </c>
      <c r="C37" s="102" t="inlineStr">
        <is>
          <t>statemate</t>
        </is>
      </c>
      <c r="D37" s="94" t="n">
        <v>6973097</v>
      </c>
      <c r="E37" s="94" t="n">
        <v>6973097</v>
      </c>
      <c r="F37" s="94" t="n">
        <v>3300065</v>
      </c>
      <c r="G37" s="94" t="n">
        <v>3300065</v>
      </c>
      <c r="H37" s="96" t="inlineStr">
        <is>
          <t>EXACT</t>
        </is>
      </c>
      <c r="I37" s="96" t="inlineStr">
        <is>
          <t>EXACT</t>
        </is>
      </c>
    </row>
    <row r="38">
      <c r="B38" s="93" t="inlineStr">
        <is>
          <t>RV64I_5SP</t>
        </is>
      </c>
      <c r="C38" s="102" t="inlineStr">
        <is>
          <t>crc32</t>
        </is>
      </c>
      <c r="D38" s="94" t="n">
        <v>43005651</v>
      </c>
      <c r="E38" s="94" t="n">
        <v>43005651</v>
      </c>
      <c r="F38" s="94" t="n">
        <v>35344061</v>
      </c>
      <c r="G38" s="94" t="n">
        <v>35344061</v>
      </c>
      <c r="H38" s="96" t="inlineStr">
        <is>
          <t>EXACT</t>
        </is>
      </c>
      <c r="I38" s="96" t="inlineStr">
        <is>
          <t>EXACT</t>
        </is>
      </c>
    </row>
    <row r="39">
      <c r="B39" s="93" t="inlineStr">
        <is>
          <t>RV64I_5SP</t>
        </is>
      </c>
      <c r="C39" s="102" t="inlineStr">
        <is>
          <t>matmult-int</t>
        </is>
      </c>
      <c r="D39" s="94" t="n">
        <v>31994157</v>
      </c>
      <c r="E39" s="94" t="n">
        <v>31994157</v>
      </c>
      <c r="F39" s="94" t="n">
        <v>25061097</v>
      </c>
      <c r="G39" s="94" t="n">
        <v>25061097</v>
      </c>
      <c r="H39" s="96" t="inlineStr">
        <is>
          <t>EXACT</t>
        </is>
      </c>
      <c r="I39" s="96" t="inlineStr">
        <is>
          <t>EXACT</t>
        </is>
      </c>
    </row>
    <row r="40">
      <c r="B40" s="93" t="inlineStr">
        <is>
          <t>RV64I_5SP</t>
        </is>
      </c>
      <c r="C40" s="102" t="inlineStr">
        <is>
          <t>md5sum</t>
        </is>
      </c>
      <c r="D40" s="94" t="n">
        <v>2947978</v>
      </c>
      <c r="E40" s="94" t="n">
        <v>2947978</v>
      </c>
      <c r="F40" s="94" t="n">
        <v>2598542</v>
      </c>
      <c r="G40" s="94" t="n">
        <v>2598542</v>
      </c>
      <c r="H40" s="96" t="inlineStr">
        <is>
          <t>EXACT</t>
        </is>
      </c>
      <c r="I40" s="96" t="inlineStr">
        <is>
          <t>EXACT</t>
        </is>
      </c>
    </row>
    <row r="41">
      <c r="B41" s="93" t="inlineStr">
        <is>
          <t>RV64I_5SP</t>
        </is>
      </c>
      <c r="C41" s="102" t="inlineStr">
        <is>
          <t>nettle-aes</t>
        </is>
      </c>
      <c r="D41" s="94" t="n">
        <v>5526957</v>
      </c>
      <c r="E41" s="94" t="n">
        <v>5526957</v>
      </c>
      <c r="F41" s="94" t="n">
        <v>5212283</v>
      </c>
      <c r="G41" s="94" t="n">
        <v>5212283</v>
      </c>
      <c r="H41" s="96" t="inlineStr">
        <is>
          <t>EXACT</t>
        </is>
      </c>
      <c r="I41" s="96" t="inlineStr">
        <is>
          <t>EXACT</t>
        </is>
      </c>
    </row>
    <row r="42">
      <c r="B42" s="93" t="inlineStr">
        <is>
          <t>RV64I_5SP</t>
        </is>
      </c>
      <c r="C42" s="102" t="inlineStr">
        <is>
          <t>statemate</t>
        </is>
      </c>
      <c r="D42" s="94" t="n">
        <v>3633109</v>
      </c>
      <c r="E42" s="94" t="n">
        <v>3633109</v>
      </c>
      <c r="F42" s="94" t="n">
        <v>3300079</v>
      </c>
      <c r="G42" s="94" t="n">
        <v>3300079</v>
      </c>
      <c r="H42" s="96" t="inlineStr">
        <is>
          <t>EXACT</t>
        </is>
      </c>
      <c r="I42" s="96" t="inlineStr">
        <is>
          <t>EXACT</t>
        </is>
      </c>
    </row>
    <row r="44">
      <c r="B44" s="103" t="inlineStr">
        <is>
          <t>40 of 40 rows match simulation exactly in BOTH counters</t>
        </is>
      </c>
    </row>
    <row r="45">
      <c r="B45" s="102" t="inlineStr">
        <is>
          <t>All 40 RV64 rows are shown.  RV32 is excluded: those runs predate the RV32 counter-read fix and their cycle counts are invalid.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2:T41"/>
  <sheetViews>
    <sheetView workbookViewId="0">
      <selection activeCell="A1" sqref="A1"/>
    </sheetView>
  </sheetViews>
  <sheetFormatPr baseColWidth="8" defaultRowHeight="15"/>
  <cols>
    <col width="3" customWidth="1" min="1" max="1"/>
    <col width="24" customWidth="1" min="2" max="2"/>
    <col width="11" customWidth="1" min="3" max="3"/>
    <col width="14" customWidth="1" min="4" max="4"/>
    <col width="14" customWidth="1" min="5" max="5"/>
    <col width="9" customWidth="1" min="6" max="6"/>
    <col width="9" customWidth="1" min="7" max="7"/>
    <col width="11" customWidth="1" min="8" max="8"/>
    <col width="11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</cols>
  <sheetData>
    <row r="2">
      <c r="B2" s="91" t="inlineStr">
        <is>
          <t>Cycle-accurate profiling, both benchmarks x 16 variants</t>
        </is>
      </c>
    </row>
    <row r="3" ht="30" customHeight="1">
      <c r="B3" s="104" t="inlineStr">
        <is>
          <t>Counters live in the simulation wrapper, not the core, so profiling cannot perturb the RTL that produced the timing and area numbers.  FPGA runs confirm the simulation is cycle-accurate: all 40 RV64 Embench rows match exactly.</t>
        </is>
      </c>
      <c r="C3" s="105" t="n"/>
      <c r="D3" s="105" t="n"/>
      <c r="E3" s="105" t="n"/>
      <c r="F3" s="105" t="n"/>
      <c r="G3" s="105" t="n"/>
      <c r="H3" s="105" t="n"/>
      <c r="I3" s="105" t="n"/>
      <c r="J3" s="105" t="n"/>
      <c r="K3" s="105" t="n"/>
      <c r="L3" s="105" t="n"/>
      <c r="M3" s="105" t="n"/>
      <c r="N3" s="105" t="n"/>
      <c r="O3" s="105" t="n"/>
      <c r="P3" s="106" t="n"/>
    </row>
    <row r="5">
      <c r="B5" s="91" t="inlineStr">
        <is>
          <t>dhrystone</t>
        </is>
      </c>
      <c r="C5" s="92" t="inlineStr">
        <is>
          <t>cycles</t>
        </is>
      </c>
      <c r="D5" s="92" t="inlineStr">
        <is>
          <t>retired</t>
        </is>
      </c>
      <c r="E5" s="92" t="inlineStr">
        <is>
          <t>CPI</t>
        </is>
      </c>
      <c r="F5" s="92" t="inlineStr">
        <is>
          <t>IPC</t>
        </is>
      </c>
      <c r="G5" s="92" t="inlineStr">
        <is>
          <t>branch</t>
        </is>
      </c>
      <c r="H5" s="92" t="inlineStr">
        <is>
          <t>mispred</t>
        </is>
      </c>
      <c r="I5" s="92" t="inlineStr">
        <is>
          <t>br-miss %</t>
        </is>
      </c>
      <c r="J5" s="92" t="inlineStr">
        <is>
          <t>branch mispred %</t>
        </is>
      </c>
      <c r="K5" s="92" t="inlineStr">
        <is>
          <t>pc stall %</t>
        </is>
      </c>
      <c r="L5" s="92" t="inlineStr">
        <is>
          <t>front-end stall %</t>
        </is>
      </c>
      <c r="M5" s="92" t="inlineStr">
        <is>
          <t>ID/EX stall %</t>
        </is>
      </c>
      <c r="N5" s="92" t="inlineStr">
        <is>
          <t>EXR/EX stall %</t>
        </is>
      </c>
      <c r="O5" s="92" t="inlineStr">
        <is>
          <t>EX/EX2 stall %</t>
        </is>
      </c>
      <c r="P5" s="92" t="inlineStr">
        <is>
          <t>EX/MEM stall %</t>
        </is>
      </c>
      <c r="Q5" s="92" t="inlineStr">
        <is>
          <t>MEM/WB stall %</t>
        </is>
      </c>
      <c r="R5" s="92" t="inlineStr">
        <is>
          <t>load-use hazard %</t>
        </is>
      </c>
      <c r="S5" s="92" t="inlineStr">
        <is>
          <t>divider busy %</t>
        </is>
      </c>
      <c r="T5" s="92" t="inlineStr">
        <is>
          <t>multiplier busy %</t>
        </is>
      </c>
    </row>
    <row r="6">
      <c r="B6" s="93" t="inlineStr">
        <is>
          <t>RV32I_5SP</t>
        </is>
      </c>
      <c r="C6" s="94" t="n">
        <v>11784284</v>
      </c>
      <c r="D6" s="94" t="n">
        <v>10000001</v>
      </c>
      <c r="E6" s="95" t="n">
        <v>1.1784</v>
      </c>
      <c r="F6" s="95" t="n">
        <v>0.8486</v>
      </c>
      <c r="G6" s="94" t="n">
        <v>1557744</v>
      </c>
      <c r="H6" s="94" t="n">
        <v>343225</v>
      </c>
      <c r="I6" s="107" t="n">
        <v>0.2203346634620323</v>
      </c>
      <c r="J6" s="107" t="n">
        <v>0.02912565583110522</v>
      </c>
      <c r="K6" s="107" t="n">
        <v>2.545763493140525e-07</v>
      </c>
      <c r="L6" s="107" t="n">
        <v>2.545763493140525e-07</v>
      </c>
      <c r="M6" s="107" t="n">
        <v>2.545763493140525e-07</v>
      </c>
      <c r="N6" s="108" t="inlineStr">
        <is>
          <t>n/a</t>
        </is>
      </c>
      <c r="O6" s="108" t="inlineStr">
        <is>
          <t>n/a</t>
        </is>
      </c>
      <c r="P6" s="107" t="n">
        <v>2.545763493140525e-07</v>
      </c>
      <c r="Q6" s="107" t="n">
        <v>2.545763493140525e-07</v>
      </c>
      <c r="R6" s="108" t="inlineStr">
        <is>
          <t>n/a</t>
        </is>
      </c>
      <c r="S6" s="108" t="inlineStr">
        <is>
          <t>n/a</t>
        </is>
      </c>
      <c r="T6" s="108" t="inlineStr">
        <is>
          <t>n/a</t>
        </is>
      </c>
    </row>
    <row r="7">
      <c r="B7" s="93" t="inlineStr">
        <is>
          <t>RV32IM_5SP</t>
        </is>
      </c>
      <c r="C7" s="94" t="n">
        <v>12603054</v>
      </c>
      <c r="D7" s="94" t="n">
        <v>10000001</v>
      </c>
      <c r="E7" s="95" t="n">
        <v>1.2603</v>
      </c>
      <c r="F7" s="95" t="n">
        <v>0.7935</v>
      </c>
      <c r="G7" s="94" t="n">
        <v>1426641</v>
      </c>
      <c r="H7" s="94" t="n">
        <v>270161</v>
      </c>
      <c r="I7" s="107" t="n">
        <v>0.189368593780776</v>
      </c>
      <c r="J7" s="107" t="n">
        <v>0.02143615349105066</v>
      </c>
      <c r="K7" s="107" t="n">
        <v>0.07793023817877794</v>
      </c>
      <c r="L7" s="107" t="n">
        <v>0.07793023817877794</v>
      </c>
      <c r="M7" s="107" t="n">
        <v>0.07793023817877794</v>
      </c>
      <c r="N7" s="108" t="inlineStr">
        <is>
          <t>n/a</t>
        </is>
      </c>
      <c r="O7" s="108" t="inlineStr">
        <is>
          <t>n/a</t>
        </is>
      </c>
      <c r="P7" s="107" t="n">
        <v>0.07793023817877794</v>
      </c>
      <c r="Q7" s="107" t="n">
        <v>0.07793023817877794</v>
      </c>
      <c r="R7" s="108" t="inlineStr">
        <is>
          <t>n/a</t>
        </is>
      </c>
      <c r="S7" s="107" t="n">
        <v>0.06819180493870772</v>
      </c>
      <c r="T7" s="107" t="n">
        <v>0.005842393438923613</v>
      </c>
    </row>
    <row r="8">
      <c r="B8" s="93" t="inlineStr">
        <is>
          <t>RV32IM_6SP</t>
        </is>
      </c>
      <c r="C8" s="94" t="n">
        <v>13045316</v>
      </c>
      <c r="D8" s="94" t="n">
        <v>10000001</v>
      </c>
      <c r="E8" s="95" t="n">
        <v>1.3045</v>
      </c>
      <c r="F8" s="95" t="n">
        <v>0.7665999999999999</v>
      </c>
      <c r="G8" s="94" t="n">
        <v>1426641</v>
      </c>
      <c r="H8" s="94" t="n">
        <v>270161</v>
      </c>
      <c r="I8" s="107" t="n">
        <v>0.189368593780776</v>
      </c>
      <c r="J8" s="107" t="n">
        <v>0.02070942551334134</v>
      </c>
      <c r="K8" s="107" t="n">
        <v>0.08848072365590838</v>
      </c>
      <c r="L8" s="107" t="n">
        <v>0.08848072365590838</v>
      </c>
      <c r="M8" s="107" t="n">
        <v>0.08848072365590838</v>
      </c>
      <c r="N8" s="108" t="inlineStr">
        <is>
          <t>n/a</t>
        </is>
      </c>
      <c r="O8" s="107" t="n">
        <v>0.07528824905429658</v>
      </c>
      <c r="P8" s="107" t="n">
        <v>0.07528824905429658</v>
      </c>
      <c r="Q8" s="107" t="n">
        <v>0.07528824905429658</v>
      </c>
      <c r="R8" s="107" t="n">
        <v>0.0131924746016118</v>
      </c>
      <c r="S8" s="107" t="n">
        <v>0.06587996795171538</v>
      </c>
      <c r="T8" s="107" t="n">
        <v>0.005644324752271237</v>
      </c>
    </row>
    <row r="9">
      <c r="B9" s="93" t="inlineStr">
        <is>
          <t>RV32IM_7SP</t>
        </is>
      </c>
      <c r="C9" s="94" t="n">
        <v>16144624</v>
      </c>
      <c r="D9" s="94" t="n">
        <v>10000001</v>
      </c>
      <c r="E9" s="95" t="n">
        <v>1.6145</v>
      </c>
      <c r="F9" s="95" t="n">
        <v>0.6194</v>
      </c>
      <c r="G9" s="94" t="n">
        <v>1426641</v>
      </c>
      <c r="H9" s="94" t="n">
        <v>270161</v>
      </c>
      <c r="I9" s="107" t="n">
        <v>0.189368593780776</v>
      </c>
      <c r="J9" s="107" t="n">
        <v>0.01673380563090228</v>
      </c>
      <c r="K9" s="107" t="n">
        <v>0.07149494469490278</v>
      </c>
      <c r="L9" s="107" t="n">
        <v>0.07149494469490278</v>
      </c>
      <c r="M9" s="107" t="n">
        <v>0.07149494469490278</v>
      </c>
      <c r="N9" s="108" t="inlineStr">
        <is>
          <t>n/a</t>
        </is>
      </c>
      <c r="O9" s="107" t="n">
        <v>0.06083504948768086</v>
      </c>
      <c r="P9" s="107" t="n">
        <v>0.06083504948768086</v>
      </c>
      <c r="Q9" s="107" t="n">
        <v>0.06083504948768086</v>
      </c>
      <c r="R9" s="107" t="n">
        <v>0.01065989520722192</v>
      </c>
      <c r="S9" s="107" t="n">
        <v>0.05323289040364149</v>
      </c>
      <c r="T9" s="107" t="n">
        <v>0.004560775153388521</v>
      </c>
    </row>
    <row r="10">
      <c r="B10" s="93" t="inlineStr">
        <is>
          <t>RV32IM_7SP_BRAM</t>
        </is>
      </c>
      <c r="C10" s="94" t="n">
        <v>17792010</v>
      </c>
      <c r="D10" s="94" t="n">
        <v>10000001</v>
      </c>
      <c r="E10" s="95" t="n">
        <v>1.7792</v>
      </c>
      <c r="F10" s="95" t="n">
        <v>0.5621</v>
      </c>
      <c r="G10" s="94" t="n">
        <v>1426641</v>
      </c>
      <c r="H10" s="94" t="n">
        <v>245618</v>
      </c>
      <c r="I10" s="107" t="n">
        <v>0.1721652468981335</v>
      </c>
      <c r="J10" s="107" t="n">
        <v>0.01518496223866781</v>
      </c>
      <c r="K10" s="107" t="n">
        <v>0.1643642286621916</v>
      </c>
      <c r="L10" s="107" t="n">
        <v>0.1643642286621916</v>
      </c>
      <c r="M10" s="107" t="n">
        <v>0.1643642286621916</v>
      </c>
      <c r="N10" s="108" t="inlineStr">
        <is>
          <t>n/a</t>
        </is>
      </c>
      <c r="O10" s="107" t="n">
        <v>0.1546913474081905</v>
      </c>
      <c r="P10" s="107" t="n">
        <v>0.1546913474081905</v>
      </c>
      <c r="Q10" s="107" t="n">
        <v>0.1546913474081905</v>
      </c>
      <c r="R10" s="107" t="n">
        <v>0.01243187250906446</v>
      </c>
      <c r="S10" s="107" t="n">
        <v>0.04830595306544904</v>
      </c>
      <c r="T10" s="107" t="n">
        <v>0.004138486882595053</v>
      </c>
    </row>
    <row r="11">
      <c r="B11" s="93" t="inlineStr">
        <is>
          <t>RV32IM_7SP_BRAM_Opt</t>
        </is>
      </c>
      <c r="C11" s="94" t="n">
        <v>18332260</v>
      </c>
      <c r="D11" s="94" t="n">
        <v>10000001</v>
      </c>
      <c r="E11" s="95" t="n">
        <v>1.8332</v>
      </c>
      <c r="F11" s="95" t="n">
        <v>0.5455</v>
      </c>
      <c r="G11" s="94" t="n">
        <v>1426641</v>
      </c>
      <c r="H11" s="94" t="n">
        <v>245618</v>
      </c>
      <c r="I11" s="107" t="n">
        <v>0.1721652468981335</v>
      </c>
      <c r="J11" s="107" t="n">
        <v>0.01473746281145914</v>
      </c>
      <c r="K11" s="107" t="n">
        <v>0.1595185754511446</v>
      </c>
      <c r="L11" s="107" t="n">
        <v>0.1595185754511446</v>
      </c>
      <c r="M11" s="107" t="n">
        <v>0.1595185754511446</v>
      </c>
      <c r="N11" s="108" t="inlineStr">
        <is>
          <t>n/a</t>
        </is>
      </c>
      <c r="O11" s="107" t="n">
        <v>0.1501305894636013</v>
      </c>
      <c r="P11" s="107" t="n">
        <v>0.1501305894636013</v>
      </c>
      <c r="Q11" s="107" t="n">
        <v>0.1501305894636013</v>
      </c>
      <c r="R11" s="107" t="n">
        <v>0.01206550638055537</v>
      </c>
      <c r="S11" s="107" t="n">
        <v>0.04688047191126463</v>
      </c>
      <c r="T11" s="107" t="n">
        <v>0.004016526058434694</v>
      </c>
    </row>
    <row r="12">
      <c r="B12" s="93" t="inlineStr">
        <is>
          <t>RV32IM_8SP_withoutOpt</t>
        </is>
      </c>
      <c r="C12" s="94" t="n">
        <v>20839194</v>
      </c>
      <c r="D12" s="94" t="n">
        <v>10000000</v>
      </c>
      <c r="E12" s="95" t="n">
        <v>2.0839</v>
      </c>
      <c r="F12" s="95" t="n">
        <v>0.4799</v>
      </c>
      <c r="G12" s="94" t="n">
        <v>1426641</v>
      </c>
      <c r="H12" s="94" t="n">
        <v>245618</v>
      </c>
      <c r="I12" s="107" t="n">
        <v>0.1721652468981335</v>
      </c>
      <c r="J12" s="107" t="n">
        <v>0.0129645129269395</v>
      </c>
      <c r="K12" s="107" t="n">
        <v>0.2488413419444149</v>
      </c>
      <c r="L12" s="107" t="n">
        <v>0.2488413419444149</v>
      </c>
      <c r="M12" s="107" t="n">
        <v>0.2488413419444149</v>
      </c>
      <c r="N12" s="107" t="n">
        <v>0.1320718066159373</v>
      </c>
      <c r="O12" s="107" t="n">
        <v>0.1320718066159373</v>
      </c>
      <c r="P12" s="107" t="n">
        <v>0.1320718066159373</v>
      </c>
      <c r="Q12" s="107" t="n">
        <v>0.1320718066159373</v>
      </c>
      <c r="R12" s="107" t="n">
        <v>0.1733120292464286</v>
      </c>
      <c r="S12" s="107" t="n">
        <v>0.04124247799602998</v>
      </c>
      <c r="T12" s="107" t="n">
        <v>0.003533342028487282</v>
      </c>
    </row>
    <row r="13">
      <c r="B13" s="93" t="inlineStr">
        <is>
          <t>RV32IM_8SP</t>
        </is>
      </c>
      <c r="C13" s="94" t="n">
        <v>21379447</v>
      </c>
      <c r="D13" s="94" t="n">
        <v>10000000</v>
      </c>
      <c r="E13" s="95" t="n">
        <v>2.1379</v>
      </c>
      <c r="F13" s="95" t="n">
        <v>0.4677</v>
      </c>
      <c r="G13" s="94" t="n">
        <v>1426641</v>
      </c>
      <c r="H13" s="94" t="n">
        <v>245618</v>
      </c>
      <c r="I13" s="107" t="n">
        <v>0.1721652468981335</v>
      </c>
      <c r="J13" s="107" t="n">
        <v>0.01263690309669843</v>
      </c>
      <c r="K13" s="107" t="n">
        <v>0.2425517367217216</v>
      </c>
      <c r="L13" s="107" t="n">
        <v>0.2425517367217216</v>
      </c>
      <c r="M13" s="107" t="n">
        <v>0.2425517367217216</v>
      </c>
      <c r="N13" s="107" t="n">
        <v>0.1287327029553197</v>
      </c>
      <c r="O13" s="107" t="n">
        <v>0.1287327029553197</v>
      </c>
      <c r="P13" s="107" t="n">
        <v>0.1287327029553197</v>
      </c>
      <c r="Q13" s="107" t="n">
        <v>0.1287327029553197</v>
      </c>
      <c r="R13" s="107" t="n">
        <v>0.1746794479763672</v>
      </c>
      <c r="S13" s="107" t="n">
        <v>0.04019865434311748</v>
      </c>
      <c r="T13" s="107" t="n">
        <v>0.003444055405174886</v>
      </c>
    </row>
    <row r="14">
      <c r="B14" s="93" t="inlineStr">
        <is>
          <t>RV64I_5SP</t>
        </is>
      </c>
      <c r="C14" s="94" t="n">
        <v>11918396</v>
      </c>
      <c r="D14" s="94" t="n">
        <v>10000001</v>
      </c>
      <c r="E14" s="95" t="n">
        <v>1.1918</v>
      </c>
      <c r="F14" s="95" t="n">
        <v>0.839</v>
      </c>
      <c r="G14" s="94" t="n">
        <v>1559720</v>
      </c>
      <c r="H14" s="94" t="n">
        <v>383761</v>
      </c>
      <c r="I14" s="107" t="n">
        <v>0.2460448029133434</v>
      </c>
      <c r="J14" s="107" t="n">
        <v>0.03219904758996093</v>
      </c>
      <c r="K14" s="107" t="n">
        <v>8.390390787485162e-08</v>
      </c>
      <c r="L14" s="107" t="n">
        <v>8.390390787485162e-08</v>
      </c>
      <c r="M14" s="107" t="n">
        <v>8.390390787485162e-08</v>
      </c>
      <c r="N14" s="108" t="inlineStr">
        <is>
          <t>n/a</t>
        </is>
      </c>
      <c r="O14" s="108" t="inlineStr">
        <is>
          <t>n/a</t>
        </is>
      </c>
      <c r="P14" s="107" t="n">
        <v>8.390390787485162e-08</v>
      </c>
      <c r="Q14" s="107" t="n">
        <v>8.390390787485162e-08</v>
      </c>
      <c r="R14" s="108" t="inlineStr">
        <is>
          <t>n/a</t>
        </is>
      </c>
      <c r="S14" s="108" t="inlineStr">
        <is>
          <t>n/a</t>
        </is>
      </c>
      <c r="T14" s="108" t="inlineStr">
        <is>
          <t>n/a</t>
        </is>
      </c>
    </row>
    <row r="15">
      <c r="B15" s="93" t="inlineStr">
        <is>
          <t>RV64IM_5SP</t>
        </is>
      </c>
      <c r="C15" s="94" t="n">
        <v>12790556</v>
      </c>
      <c r="D15" s="94" t="n">
        <v>10000000</v>
      </c>
      <c r="E15" s="95" t="n">
        <v>1.2791</v>
      </c>
      <c r="F15" s="95" t="n">
        <v>0.7818000000000001</v>
      </c>
      <c r="G15" s="94" t="n">
        <v>1422019</v>
      </c>
      <c r="H15" s="94" t="n">
        <v>310048</v>
      </c>
      <c r="I15" s="107" t="n">
        <v>0.218033654965229</v>
      </c>
      <c r="J15" s="107" t="n">
        <v>0.02424038485895375</v>
      </c>
      <c r="K15" s="107" t="n">
        <v>0.0808143914932236</v>
      </c>
      <c r="L15" s="107" t="n">
        <v>0.0808143914932236</v>
      </c>
      <c r="M15" s="107" t="n">
        <v>0.0808143914932236</v>
      </c>
      <c r="N15" s="108" t="inlineStr">
        <is>
          <t>n/a</t>
        </is>
      </c>
      <c r="O15" s="108" t="inlineStr">
        <is>
          <t>n/a</t>
        </is>
      </c>
      <c r="P15" s="107" t="n">
        <v>0.0808143914932236</v>
      </c>
      <c r="Q15" s="107" t="n">
        <v>0.0808143914932236</v>
      </c>
      <c r="R15" s="108" t="inlineStr">
        <is>
          <t>n/a</t>
        </is>
      </c>
      <c r="S15" s="107" t="n">
        <v>0.07071928694890199</v>
      </c>
      <c r="T15" s="107" t="n">
        <v>0.006056499811267001</v>
      </c>
    </row>
    <row r="16">
      <c r="B16" s="93" t="inlineStr">
        <is>
          <t>RV64IM_6SP</t>
        </is>
      </c>
      <c r="C16" s="94" t="n">
        <v>13281651</v>
      </c>
      <c r="D16" s="94" t="n">
        <v>10000000</v>
      </c>
      <c r="E16" s="95" t="n">
        <v>1.3282</v>
      </c>
      <c r="F16" s="95" t="n">
        <v>0.7529</v>
      </c>
      <c r="G16" s="94" t="n">
        <v>1422019</v>
      </c>
      <c r="H16" s="94" t="n">
        <v>310048</v>
      </c>
      <c r="I16" s="107" t="n">
        <v>0.218033654965229</v>
      </c>
      <c r="J16" s="107" t="n">
        <v>0.02334408576162707</v>
      </c>
      <c r="K16" s="107" t="n">
        <v>0.09145753039287058</v>
      </c>
      <c r="L16" s="107" t="n">
        <v>0.09145753039287058</v>
      </c>
      <c r="M16" s="107" t="n">
        <v>0.09145753039287058</v>
      </c>
      <c r="N16" s="108" t="inlineStr">
        <is>
          <t>n/a</t>
        </is>
      </c>
      <c r="O16" s="107" t="n">
        <v>0.07782624313799542</v>
      </c>
      <c r="P16" s="107" t="n">
        <v>0.07782624313799542</v>
      </c>
      <c r="Q16" s="107" t="n">
        <v>0.07782624313799542</v>
      </c>
      <c r="R16" s="107" t="n">
        <v>0.01363128725487516</v>
      </c>
      <c r="S16" s="107" t="n">
        <v>0.06810440960991973</v>
      </c>
      <c r="T16" s="107" t="n">
        <v>0.005832558015565987</v>
      </c>
    </row>
    <row r="17">
      <c r="B17" s="93" t="inlineStr">
        <is>
          <t>RV64IM_7SP</t>
        </is>
      </c>
      <c r="C17" s="94" t="n">
        <v>16591053</v>
      </c>
      <c r="D17" s="94" t="n">
        <v>10000000</v>
      </c>
      <c r="E17" s="95" t="n">
        <v>1.6591</v>
      </c>
      <c r="F17" s="95" t="n">
        <v>0.6027</v>
      </c>
      <c r="G17" s="94" t="n">
        <v>1422019</v>
      </c>
      <c r="H17" s="94" t="n">
        <v>310048</v>
      </c>
      <c r="I17" s="107" t="n">
        <v>0.218033654965229</v>
      </c>
      <c r="J17" s="107" t="n">
        <v>0.01868766256126118</v>
      </c>
      <c r="K17" s="107" t="n">
        <v>0.07321458137708318</v>
      </c>
      <c r="L17" s="107" t="n">
        <v>0.07321458137708318</v>
      </c>
      <c r="M17" s="107" t="n">
        <v>0.07321458137708318</v>
      </c>
      <c r="N17" s="108" t="inlineStr">
        <is>
          <t>n/a</t>
        </is>
      </c>
      <c r="O17" s="107" t="n">
        <v>0.06230231438595248</v>
      </c>
      <c r="P17" s="107" t="n">
        <v>0.06230231438595248</v>
      </c>
      <c r="Q17" s="107" t="n">
        <v>0.06230231438595248</v>
      </c>
      <c r="R17" s="107" t="n">
        <v>0.0109122669911307</v>
      </c>
      <c r="S17" s="107" t="n">
        <v>0.0545196860018469</v>
      </c>
      <c r="T17" s="107" t="n">
        <v>0.00466914306162484</v>
      </c>
    </row>
    <row r="18">
      <c r="B18" s="93" t="inlineStr">
        <is>
          <t>RV64IM_7SP_BRAM</t>
        </is>
      </c>
      <c r="C18" s="94" t="n">
        <v>18193618</v>
      </c>
      <c r="D18" s="94" t="n">
        <v>10000000</v>
      </c>
      <c r="E18" s="95" t="n">
        <v>1.8194</v>
      </c>
      <c r="F18" s="95" t="n">
        <v>0.5496</v>
      </c>
      <c r="G18" s="94" t="n">
        <v>1422019</v>
      </c>
      <c r="H18" s="94" t="n">
        <v>284219</v>
      </c>
      <c r="I18" s="107" t="n">
        <v>0.199870043930496</v>
      </c>
      <c r="J18" s="107" t="n">
        <v>0.01704158018487582</v>
      </c>
      <c r="K18" s="107" t="n">
        <v>0.1619469530469421</v>
      </c>
      <c r="L18" s="107" t="n">
        <v>0.1619469530469421</v>
      </c>
      <c r="M18" s="107" t="n">
        <v>0.1619469530469421</v>
      </c>
      <c r="N18" s="108" t="inlineStr">
        <is>
          <t>n/a</t>
        </is>
      </c>
      <c r="O18" s="107" t="n">
        <v>0.1519958811930645</v>
      </c>
      <c r="P18" s="107" t="n">
        <v>0.1519958811930645</v>
      </c>
      <c r="Q18" s="107" t="n">
        <v>0.1519958811930645</v>
      </c>
      <c r="R18" s="107" t="n">
        <v>0.01278964964527671</v>
      </c>
      <c r="S18" s="107" t="n">
        <v>0.04971737891825584</v>
      </c>
      <c r="T18" s="107" t="n">
        <v>0.00425786668709874</v>
      </c>
    </row>
    <row r="19">
      <c r="B19" s="93" t="inlineStr">
        <is>
          <t>RV64IM_7SP_BRAM_Opt</t>
        </is>
      </c>
      <c r="C19" s="94" t="n">
        <v>18762015</v>
      </c>
      <c r="D19" s="94" t="n">
        <v>10000000</v>
      </c>
      <c r="E19" s="95" t="n">
        <v>1.8762</v>
      </c>
      <c r="F19" s="95" t="n">
        <v>0.533</v>
      </c>
      <c r="G19" s="94" t="n">
        <v>1422019</v>
      </c>
      <c r="H19" s="94" t="n">
        <v>284219</v>
      </c>
      <c r="I19" s="107" t="n">
        <v>0.199870043930496</v>
      </c>
      <c r="J19" s="107" t="n">
        <v>0.01652530391858231</v>
      </c>
      <c r="K19" s="107" t="n">
        <v>0.1570407549508941</v>
      </c>
      <c r="L19" s="107" t="n">
        <v>0.1570407549508941</v>
      </c>
      <c r="M19" s="107" t="n">
        <v>0.1570407549508941</v>
      </c>
      <c r="N19" s="108" t="inlineStr">
        <is>
          <t>n/a</t>
        </is>
      </c>
      <c r="O19" s="107" t="n">
        <v>0.1473911517499586</v>
      </c>
      <c r="P19" s="107" t="n">
        <v>0.1473911517499586</v>
      </c>
      <c r="Q19" s="107" t="n">
        <v>0.1473911517499586</v>
      </c>
      <c r="R19" s="107" t="n">
        <v>0.0124021860125365</v>
      </c>
      <c r="S19" s="107" t="n">
        <v>0.04821118627183701</v>
      </c>
      <c r="T19" s="107" t="n">
        <v>0.004128874217401489</v>
      </c>
    </row>
    <row r="20">
      <c r="B20" s="93" t="inlineStr">
        <is>
          <t>RV64IM_8SP_withoutOpt</t>
        </is>
      </c>
      <c r="C20" s="94" t="n">
        <v>21423982</v>
      </c>
      <c r="D20" s="94" t="n">
        <v>10000000</v>
      </c>
      <c r="E20" s="95" t="n">
        <v>2.1424</v>
      </c>
      <c r="F20" s="95" t="n">
        <v>0.4668</v>
      </c>
      <c r="G20" s="94" t="n">
        <v>1422019</v>
      </c>
      <c r="H20" s="94" t="n">
        <v>284218</v>
      </c>
      <c r="I20" s="107" t="n">
        <v>0.1998693407050117</v>
      </c>
      <c r="J20" s="107" t="n">
        <v>0.01447191283114409</v>
      </c>
      <c r="K20" s="107" t="n">
        <v>0.2485137450171495</v>
      </c>
      <c r="L20" s="107" t="n">
        <v>0.2485137450171495</v>
      </c>
      <c r="M20" s="107" t="n">
        <v>0.2485137450171495</v>
      </c>
      <c r="N20" s="107" t="n">
        <v>0.1290775449680643</v>
      </c>
      <c r="O20" s="107" t="n">
        <v>0.1290775449680643</v>
      </c>
      <c r="P20" s="107" t="n">
        <v>0.1290775449680643</v>
      </c>
      <c r="Q20" s="107" t="n">
        <v>0.1290775449680643</v>
      </c>
      <c r="R20" s="107" t="n">
        <v>0.1773076078947415</v>
      </c>
      <c r="S20" s="107" t="n">
        <v>0.04222086258287559</v>
      </c>
      <c r="T20" s="107" t="n">
        <v>0.003615854419593893</v>
      </c>
    </row>
    <row r="21">
      <c r="B21" s="93" t="inlineStr">
        <is>
          <t>RV64IM_8SP</t>
        </is>
      </c>
      <c r="C21" s="94" t="n">
        <v>21992379</v>
      </c>
      <c r="D21" s="94" t="n">
        <v>10000000</v>
      </c>
      <c r="E21" s="95" t="n">
        <v>2.1992</v>
      </c>
      <c r="F21" s="95" t="n">
        <v>0.4547</v>
      </c>
      <c r="G21" s="94" t="n">
        <v>1422019</v>
      </c>
      <c r="H21" s="94" t="n">
        <v>284218</v>
      </c>
      <c r="I21" s="107" t="n">
        <v>0.1998693407050117</v>
      </c>
      <c r="J21" s="107" t="n">
        <v>0.01409788363505376</v>
      </c>
      <c r="K21" s="107" t="n">
        <v>0.2420908624755876</v>
      </c>
      <c r="L21" s="107" t="n">
        <v>0.2420908624755876</v>
      </c>
      <c r="M21" s="107" t="n">
        <v>0.2420908624755876</v>
      </c>
      <c r="N21" s="107" t="n">
        <v>0.125741512548506</v>
      </c>
      <c r="O21" s="107" t="n">
        <v>0.125741512548506</v>
      </c>
      <c r="P21" s="107" t="n">
        <v>0.125741512548506</v>
      </c>
      <c r="Q21" s="107" t="n">
        <v>0.125741512548506</v>
      </c>
      <c r="R21" s="107" t="n">
        <v>0.1797768217799448</v>
      </c>
      <c r="S21" s="107" t="n">
        <v>0.04112965677792293</v>
      </c>
      <c r="T21" s="107" t="n">
        <v>0.003522402010260009</v>
      </c>
    </row>
    <row r="23">
      <c r="B23" s="91" t="inlineStr">
        <is>
          <t>coremark</t>
        </is>
      </c>
      <c r="C23" s="92" t="inlineStr">
        <is>
          <t>cycles</t>
        </is>
      </c>
      <c r="D23" s="92" t="inlineStr">
        <is>
          <t>retired</t>
        </is>
      </c>
      <c r="E23" s="92" t="inlineStr">
        <is>
          <t>CPI</t>
        </is>
      </c>
      <c r="F23" s="92" t="inlineStr">
        <is>
          <t>IPC</t>
        </is>
      </c>
      <c r="G23" s="92" t="inlineStr">
        <is>
          <t>branch</t>
        </is>
      </c>
      <c r="H23" s="92" t="inlineStr">
        <is>
          <t>mispred</t>
        </is>
      </c>
      <c r="I23" s="92" t="inlineStr">
        <is>
          <t>br-miss %</t>
        </is>
      </c>
      <c r="J23" s="92" t="inlineStr">
        <is>
          <t>branch mispred %</t>
        </is>
      </c>
      <c r="K23" s="92" t="inlineStr">
        <is>
          <t>pc stall %</t>
        </is>
      </c>
      <c r="L23" s="92" t="inlineStr">
        <is>
          <t>front-end stall %</t>
        </is>
      </c>
      <c r="M23" s="92" t="inlineStr">
        <is>
          <t>ID/EX stall %</t>
        </is>
      </c>
      <c r="N23" s="92" t="inlineStr">
        <is>
          <t>EXR/EX stall %</t>
        </is>
      </c>
      <c r="O23" s="92" t="inlineStr">
        <is>
          <t>EX/EX2 stall %</t>
        </is>
      </c>
      <c r="P23" s="92" t="inlineStr">
        <is>
          <t>EX/MEM stall %</t>
        </is>
      </c>
      <c r="Q23" s="92" t="inlineStr">
        <is>
          <t>MEM/WB stall %</t>
        </is>
      </c>
      <c r="R23" s="92" t="inlineStr">
        <is>
          <t>load-use hazard %</t>
        </is>
      </c>
      <c r="S23" s="92" t="inlineStr">
        <is>
          <t>divider busy %</t>
        </is>
      </c>
      <c r="T23" s="92" t="inlineStr">
        <is>
          <t>multiplier busy %</t>
        </is>
      </c>
    </row>
    <row r="24">
      <c r="B24" s="93" t="inlineStr">
        <is>
          <t>RV32I_5SP</t>
        </is>
      </c>
      <c r="C24" s="94" t="n">
        <v>13015844</v>
      </c>
      <c r="D24" s="94" t="n">
        <v>10000000</v>
      </c>
      <c r="E24" s="95" t="n">
        <v>1.3016</v>
      </c>
      <c r="F24" s="95" t="n">
        <v>0.7683</v>
      </c>
      <c r="G24" s="94" t="n">
        <v>2725194</v>
      </c>
      <c r="H24" s="94" t="n">
        <v>1136331</v>
      </c>
      <c r="I24" s="107" t="n">
        <v>0.4169725164520398</v>
      </c>
      <c r="J24" s="107" t="n">
        <v>0.08730367389160472</v>
      </c>
      <c r="K24" s="107" t="n">
        <v>3.841471978305825e-07</v>
      </c>
      <c r="L24" s="107" t="n">
        <v>3.841471978305825e-07</v>
      </c>
      <c r="M24" s="107" t="n">
        <v>3.841471978305825e-07</v>
      </c>
      <c r="N24" s="108" t="inlineStr">
        <is>
          <t>n/a</t>
        </is>
      </c>
      <c r="O24" s="108" t="inlineStr">
        <is>
          <t>n/a</t>
        </is>
      </c>
      <c r="P24" s="107" t="n">
        <v>3.841471978305825e-07</v>
      </c>
      <c r="Q24" s="107" t="n">
        <v>3.841471978305825e-07</v>
      </c>
      <c r="R24" s="108" t="inlineStr">
        <is>
          <t>n/a</t>
        </is>
      </c>
      <c r="S24" s="108" t="inlineStr">
        <is>
          <t>n/a</t>
        </is>
      </c>
      <c r="T24" s="108" t="inlineStr">
        <is>
          <t>n/a</t>
        </is>
      </c>
    </row>
    <row r="25">
      <c r="B25" s="93" t="inlineStr">
        <is>
          <t>RV32IM_5SP</t>
        </is>
      </c>
      <c r="C25" s="94" t="n">
        <v>13337958</v>
      </c>
      <c r="D25" s="94" t="n">
        <v>10000001</v>
      </c>
      <c r="E25" s="95" t="n">
        <v>1.3338</v>
      </c>
      <c r="F25" s="95" t="n">
        <v>0.7497</v>
      </c>
      <c r="G25" s="94" t="n">
        <v>1758320</v>
      </c>
      <c r="H25" s="94" t="n">
        <v>717542</v>
      </c>
      <c r="I25" s="107" t="n">
        <v>0.4080838527685518</v>
      </c>
      <c r="J25" s="107" t="n">
        <v>0.05379699051384027</v>
      </c>
      <c r="K25" s="107" t="n">
        <v>0.1014737788198163</v>
      </c>
      <c r="L25" s="107" t="n">
        <v>0.1014737788198163</v>
      </c>
      <c r="M25" s="107" t="n">
        <v>0.1014737788198163</v>
      </c>
      <c r="N25" s="108" t="inlineStr">
        <is>
          <t>n/a</t>
        </is>
      </c>
      <c r="O25" s="108" t="inlineStr">
        <is>
          <t>n/a</t>
        </is>
      </c>
      <c r="P25" s="107" t="n">
        <v>0.1014737788198163</v>
      </c>
      <c r="Q25" s="107" t="n">
        <v>0.1014737788198163</v>
      </c>
      <c r="R25" s="108" t="inlineStr">
        <is>
          <t>n/a</t>
        </is>
      </c>
      <c r="S25" s="107" t="n">
        <v>2.624089834440924e-06</v>
      </c>
      <c r="T25" s="107" t="n">
        <v>0.07610302866450772</v>
      </c>
    </row>
    <row r="26">
      <c r="B26" s="93" t="inlineStr">
        <is>
          <t>RV32IM_6SP</t>
        </is>
      </c>
      <c r="C26" s="94" t="n">
        <v>14805298</v>
      </c>
      <c r="D26" s="94" t="n">
        <v>10000001</v>
      </c>
      <c r="E26" s="95" t="n">
        <v>1.4805</v>
      </c>
      <c r="F26" s="95" t="n">
        <v>0.6754</v>
      </c>
      <c r="G26" s="94" t="n">
        <v>1758320</v>
      </c>
      <c r="H26" s="94" t="n">
        <v>717542</v>
      </c>
      <c r="I26" s="107" t="n">
        <v>0.4080838527685518</v>
      </c>
      <c r="J26" s="107" t="n">
        <v>0.04846521832927645</v>
      </c>
      <c r="K26" s="107" t="n">
        <v>0.1420606326194853</v>
      </c>
      <c r="L26" s="107" t="n">
        <v>0.1420606326194853</v>
      </c>
      <c r="M26" s="107" t="n">
        <v>0.1420606326194853</v>
      </c>
      <c r="N26" s="108" t="inlineStr">
        <is>
          <t>n/a</t>
        </is>
      </c>
      <c r="O26" s="107" t="n">
        <v>0.09145597744807298</v>
      </c>
      <c r="P26" s="107" t="n">
        <v>0.09145597744807298</v>
      </c>
      <c r="Q26" s="107" t="n">
        <v>0.09145597744807298</v>
      </c>
      <c r="R26" s="107" t="n">
        <v>0.05060465517141229</v>
      </c>
      <c r="S26" s="107" t="n">
        <v>2.364018610094846e-06</v>
      </c>
      <c r="T26" s="107" t="n">
        <v>0.06856052475269325</v>
      </c>
    </row>
    <row r="27">
      <c r="B27" s="93" t="inlineStr">
        <is>
          <t>RV32IM_7SP</t>
        </is>
      </c>
      <c r="C27" s="94" t="n">
        <v>17759931</v>
      </c>
      <c r="D27" s="94" t="n">
        <v>10000001</v>
      </c>
      <c r="E27" s="95" t="n">
        <v>1.776</v>
      </c>
      <c r="F27" s="95" t="n">
        <v>0.5631</v>
      </c>
      <c r="G27" s="94" t="n">
        <v>1758322</v>
      </c>
      <c r="H27" s="94" t="n">
        <v>717543</v>
      </c>
      <c r="I27" s="107" t="n">
        <v>0.4080839573183979</v>
      </c>
      <c r="J27" s="107" t="n">
        <v>0.04040235291454679</v>
      </c>
      <c r="K27" s="107" t="n">
        <v>0.1183947730427556</v>
      </c>
      <c r="L27" s="107" t="n">
        <v>0.1183947730427556</v>
      </c>
      <c r="M27" s="107" t="n">
        <v>0.1183947730427556</v>
      </c>
      <c r="N27" s="108" t="inlineStr">
        <is>
          <t>n/a</t>
        </is>
      </c>
      <c r="O27" s="107" t="n">
        <v>0.07620896725330746</v>
      </c>
      <c r="P27" s="107" t="n">
        <v>0.07620896725330746</v>
      </c>
      <c r="Q27" s="107" t="n">
        <v>0.07620896725330746</v>
      </c>
      <c r="R27" s="107" t="n">
        <v>0.04218580578944817</v>
      </c>
      <c r="S27" s="107" t="n">
        <v>1.970728377266781e-06</v>
      </c>
      <c r="T27" s="107" t="n">
        <v>0.05715444502571547</v>
      </c>
    </row>
    <row r="28">
      <c r="B28" s="93" t="inlineStr">
        <is>
          <t>RV32IM_7SP_BRAM</t>
        </is>
      </c>
      <c r="C28" s="94" t="n">
        <v>18415657</v>
      </c>
      <c r="D28" s="94" t="n">
        <v>10000001</v>
      </c>
      <c r="E28" s="95" t="n">
        <v>1.8416</v>
      </c>
      <c r="F28" s="95" t="n">
        <v>0.543</v>
      </c>
      <c r="G28" s="94" t="n">
        <v>1758322</v>
      </c>
      <c r="H28" s="94" t="n">
        <v>738348</v>
      </c>
      <c r="I28" s="107" t="n">
        <v>0.4199162610716353</v>
      </c>
      <c r="J28" s="107" t="n">
        <v>0.04161572948497032</v>
      </c>
      <c r="K28" s="107" t="n">
        <v>0.1426126692085979</v>
      </c>
      <c r="L28" s="107" t="n">
        <v>0.1426126692085979</v>
      </c>
      <c r="M28" s="107" t="n">
        <v>0.1426126692085979</v>
      </c>
      <c r="N28" s="108" t="inlineStr">
        <is>
          <t>n/a</t>
        </is>
      </c>
      <c r="O28" s="107" t="n">
        <v>0.1019289727214185</v>
      </c>
      <c r="P28" s="107" t="n">
        <v>0.1019289727214185</v>
      </c>
      <c r="Q28" s="107" t="n">
        <v>0.1019289727214185</v>
      </c>
      <c r="R28" s="107" t="n">
        <v>0.04311119608711218</v>
      </c>
      <c r="S28" s="107" t="n">
        <v>1.900556683913042e-06</v>
      </c>
      <c r="T28" s="107" t="n">
        <v>0.05512081377275869</v>
      </c>
    </row>
    <row r="29">
      <c r="B29" s="93" t="inlineStr">
        <is>
          <t>RV32IM_7SP_BRAM_Opt</t>
        </is>
      </c>
      <c r="C29" s="94" t="n">
        <v>18690297</v>
      </c>
      <c r="D29" s="94" t="n">
        <v>10000001</v>
      </c>
      <c r="E29" s="95" t="n">
        <v>1.869</v>
      </c>
      <c r="F29" s="95" t="n">
        <v>0.535</v>
      </c>
      <c r="G29" s="94" t="n">
        <v>1758321</v>
      </c>
      <c r="H29" s="94" t="n">
        <v>738348</v>
      </c>
      <c r="I29" s="107" t="n">
        <v>0.4199164998882456</v>
      </c>
      <c r="J29" s="107" t="n">
        <v>0.04100421732196123</v>
      </c>
      <c r="K29" s="107" t="n">
        <v>0.1405139789913451</v>
      </c>
      <c r="L29" s="107" t="n">
        <v>0.1405139789913451</v>
      </c>
      <c r="M29" s="107" t="n">
        <v>0.1405139789913451</v>
      </c>
      <c r="N29" s="108" t="inlineStr">
        <is>
          <t>n/a</t>
        </is>
      </c>
      <c r="O29" s="107" t="n">
        <v>0.1004280991361454</v>
      </c>
      <c r="P29" s="107" t="n">
        <v>0.1004280991361454</v>
      </c>
      <c r="Q29" s="107" t="n">
        <v>0.1004280991361454</v>
      </c>
      <c r="R29" s="107" t="n">
        <v>0.04247770915571861</v>
      </c>
      <c r="S29" s="107" t="n">
        <v>1.872629418355417e-06</v>
      </c>
      <c r="T29" s="107" t="n">
        <v>0.05430940985046947</v>
      </c>
    </row>
    <row r="30">
      <c r="B30" s="93" t="inlineStr">
        <is>
          <t>RV32IM_8SP_withoutOpt</t>
        </is>
      </c>
      <c r="C30" s="94" t="n">
        <v>22129713</v>
      </c>
      <c r="D30" s="94" t="n">
        <v>10000001</v>
      </c>
      <c r="E30" s="95" t="n">
        <v>2.213</v>
      </c>
      <c r="F30" s="95" t="n">
        <v>0.4519</v>
      </c>
      <c r="G30" s="94" t="n">
        <v>1758322</v>
      </c>
      <c r="H30" s="94" t="n">
        <v>738560</v>
      </c>
      <c r="I30" s="107" t="n">
        <v>0.4200368305691449</v>
      </c>
      <c r="J30" s="107" t="n">
        <v>0.03466005184974608</v>
      </c>
      <c r="K30" s="107" t="n">
        <v>0.2406547251652111</v>
      </c>
      <c r="L30" s="107" t="n">
        <v>0.2406547251652111</v>
      </c>
      <c r="M30" s="107" t="n">
        <v>0.2406547251652111</v>
      </c>
      <c r="N30" s="107" t="n">
        <v>0.08484068455835826</v>
      </c>
      <c r="O30" s="107" t="n">
        <v>0.08484068455835826</v>
      </c>
      <c r="P30" s="107" t="n">
        <v>0.08484068455835826</v>
      </c>
      <c r="Q30" s="107" t="n">
        <v>0.08484068455835826</v>
      </c>
      <c r="R30" s="107" t="n">
        <v>0.1694918501654314</v>
      </c>
      <c r="S30" s="107" t="n">
        <v>1.581583999756346e-06</v>
      </c>
      <c r="T30" s="107" t="n">
        <v>0.045869822170762</v>
      </c>
    </row>
    <row r="31">
      <c r="B31" s="93" t="inlineStr">
        <is>
          <t>RV32IM_8SP</t>
        </is>
      </c>
      <c r="C31" s="94" t="n">
        <v>22404374</v>
      </c>
      <c r="D31" s="94" t="n">
        <v>10000001</v>
      </c>
      <c r="E31" s="95" t="n">
        <v>2.2404</v>
      </c>
      <c r="F31" s="95" t="n">
        <v>0.4463</v>
      </c>
      <c r="G31" s="94" t="n">
        <v>1758322</v>
      </c>
      <c r="H31" s="94" t="n">
        <v>738560</v>
      </c>
      <c r="I31" s="107" t="n">
        <v>0.4200368305691449</v>
      </c>
      <c r="J31" s="107" t="n">
        <v>0.03423514533367458</v>
      </c>
      <c r="K31" s="107" t="n">
        <v>0.2377025575452365</v>
      </c>
      <c r="L31" s="107" t="n">
        <v>0.2377025575452365</v>
      </c>
      <c r="M31" s="107" t="n">
        <v>0.2377025575452365</v>
      </c>
      <c r="N31" s="107" t="n">
        <v>0.08379859218561518</v>
      </c>
      <c r="O31" s="107" t="n">
        <v>0.08379859218561518</v>
      </c>
      <c r="P31" s="107" t="n">
        <v>0.08379859218561518</v>
      </c>
      <c r="Q31" s="107" t="n">
        <v>0.08379859218561518</v>
      </c>
      <c r="R31" s="107" t="n">
        <v>0.1746622779998227</v>
      </c>
      <c r="S31" s="107" t="n">
        <v>1.562194953538983e-06</v>
      </c>
      <c r="T31" s="107" t="n">
        <v>0.04530628706698076</v>
      </c>
    </row>
    <row r="32">
      <c r="B32" s="93" t="inlineStr">
        <is>
          <t>RV64I_5SP</t>
        </is>
      </c>
      <c r="C32" s="94" t="n">
        <v>12933217</v>
      </c>
      <c r="D32" s="94" t="n">
        <v>10000000</v>
      </c>
      <c r="E32" s="95" t="n">
        <v>1.2933</v>
      </c>
      <c r="F32" s="95" t="n">
        <v>0.7732</v>
      </c>
      <c r="G32" s="94" t="n">
        <v>2647941</v>
      </c>
      <c r="H32" s="94" t="n">
        <v>1150680</v>
      </c>
      <c r="I32" s="107" t="n">
        <v>0.4345565101337228</v>
      </c>
      <c r="J32" s="107" t="n">
        <v>0.08897090337230096</v>
      </c>
      <c r="K32" s="107" t="n">
        <v>4.63921698677135e-07</v>
      </c>
      <c r="L32" s="107" t="n">
        <v>4.63921698677135e-07</v>
      </c>
      <c r="M32" s="107" t="n">
        <v>4.63921698677135e-07</v>
      </c>
      <c r="N32" s="108" t="inlineStr">
        <is>
          <t>n/a</t>
        </is>
      </c>
      <c r="O32" s="108" t="inlineStr">
        <is>
          <t>n/a</t>
        </is>
      </c>
      <c r="P32" s="107" t="n">
        <v>4.63921698677135e-07</v>
      </c>
      <c r="Q32" s="107" t="n">
        <v>4.63921698677135e-07</v>
      </c>
      <c r="R32" s="108" t="inlineStr">
        <is>
          <t>n/a</t>
        </is>
      </c>
      <c r="S32" s="108" t="inlineStr">
        <is>
          <t>n/a</t>
        </is>
      </c>
      <c r="T32" s="108" t="inlineStr">
        <is>
          <t>n/a</t>
        </is>
      </c>
    </row>
    <row r="33">
      <c r="B33" s="93" t="inlineStr">
        <is>
          <t>RV64IM_5SP</t>
        </is>
      </c>
      <c r="C33" s="94" t="n">
        <v>12845919</v>
      </c>
      <c r="D33" s="94" t="n">
        <v>10000001</v>
      </c>
      <c r="E33" s="95" t="n">
        <v>1.2846</v>
      </c>
      <c r="F33" s="95" t="n">
        <v>0.7785</v>
      </c>
      <c r="G33" s="94" t="n">
        <v>1515196</v>
      </c>
      <c r="H33" s="94" t="n">
        <v>621622</v>
      </c>
      <c r="I33" s="107" t="n">
        <v>0.4102584748111796</v>
      </c>
      <c r="J33" s="107" t="n">
        <v>0.04839062117704463</v>
      </c>
      <c r="K33" s="107" t="n">
        <v>0.08780609623959174</v>
      </c>
      <c r="L33" s="107" t="n">
        <v>0.08780609623959174</v>
      </c>
      <c r="M33" s="107" t="n">
        <v>0.08780609623959174</v>
      </c>
      <c r="N33" s="108" t="inlineStr">
        <is>
          <t>n/a</t>
        </is>
      </c>
      <c r="O33" s="108" t="inlineStr">
        <is>
          <t>n/a</t>
        </is>
      </c>
      <c r="P33" s="107" t="n">
        <v>0.08780609623959174</v>
      </c>
      <c r="Q33" s="107" t="n">
        <v>0.08780609623959174</v>
      </c>
      <c r="R33" s="108" t="inlineStr">
        <is>
          <t>n/a</t>
        </is>
      </c>
      <c r="S33" s="107" t="n">
        <v>2.724600707820126e-06</v>
      </c>
      <c r="T33" s="107" t="n">
        <v>0.06585212003905676</v>
      </c>
    </row>
    <row r="34">
      <c r="B34" s="93" t="inlineStr">
        <is>
          <t>RV64IM_6SP</t>
        </is>
      </c>
      <c r="C34" s="94" t="n">
        <v>14116173</v>
      </c>
      <c r="D34" s="94" t="n">
        <v>10000001</v>
      </c>
      <c r="E34" s="95" t="n">
        <v>1.4116</v>
      </c>
      <c r="F34" s="95" t="n">
        <v>0.7084</v>
      </c>
      <c r="G34" s="94" t="n">
        <v>1515196</v>
      </c>
      <c r="H34" s="94" t="n">
        <v>621622</v>
      </c>
      <c r="I34" s="107" t="n">
        <v>0.4102584748111796</v>
      </c>
      <c r="J34" s="107" t="n">
        <v>0.04403615625849867</v>
      </c>
      <c r="K34" s="107" t="n">
        <v>0.1258542949282359</v>
      </c>
      <c r="L34" s="107" t="n">
        <v>0.1258542949282359</v>
      </c>
      <c r="M34" s="107" t="n">
        <v>0.1258542949282359</v>
      </c>
      <c r="N34" s="108" t="inlineStr">
        <is>
          <t>n/a</t>
        </is>
      </c>
      <c r="O34" s="107" t="n">
        <v>0.07994135521008421</v>
      </c>
      <c r="P34" s="107" t="n">
        <v>0.07994135521008421</v>
      </c>
      <c r="Q34" s="107" t="n">
        <v>0.07994135521008421</v>
      </c>
      <c r="R34" s="107" t="n">
        <v>0.04591293971815166</v>
      </c>
      <c r="S34" s="107" t="n">
        <v>2.479425549686873e-06</v>
      </c>
      <c r="T34" s="107" t="n">
        <v>0.0599263695620619</v>
      </c>
    </row>
    <row r="35">
      <c r="B35" s="93" t="inlineStr">
        <is>
          <t>RV64IM_7SP</t>
        </is>
      </c>
      <c r="C35" s="94" t="n">
        <v>16712848</v>
      </c>
      <c r="D35" s="94" t="n">
        <v>10000001</v>
      </c>
      <c r="E35" s="95" t="n">
        <v>1.6713</v>
      </c>
      <c r="F35" s="95" t="n">
        <v>0.5983000000000001</v>
      </c>
      <c r="G35" s="94" t="n">
        <v>1515196</v>
      </c>
      <c r="H35" s="94" t="n">
        <v>621622</v>
      </c>
      <c r="I35" s="107" t="n">
        <v>0.4102584748111796</v>
      </c>
      <c r="J35" s="107" t="n">
        <v>0.03719425917114785</v>
      </c>
      <c r="K35" s="107" t="n">
        <v>0.1062712351599201</v>
      </c>
      <c r="L35" s="107" t="n">
        <v>0.1062712351599201</v>
      </c>
      <c r="M35" s="107" t="n">
        <v>0.1062712351599201</v>
      </c>
      <c r="N35" s="108" t="inlineStr">
        <is>
          <t>n/a</t>
        </is>
      </c>
      <c r="O35" s="107" t="n">
        <v>0.06749178835348708</v>
      </c>
      <c r="P35" s="107" t="n">
        <v>0.06749178835348708</v>
      </c>
      <c r="Q35" s="107" t="n">
        <v>0.06749178835348708</v>
      </c>
      <c r="R35" s="107" t="n">
        <v>0.03877944680643299</v>
      </c>
      <c r="S35" s="107" t="n">
        <v>2.094197230777184e-06</v>
      </c>
      <c r="T35" s="107" t="n">
        <v>0.05061561021795926</v>
      </c>
    </row>
    <row r="36">
      <c r="B36" s="93" t="inlineStr">
        <is>
          <t>RV64IM_7SP_BRAM</t>
        </is>
      </c>
      <c r="C36" s="94" t="n">
        <v>17271020</v>
      </c>
      <c r="D36" s="94" t="n">
        <v>10000001</v>
      </c>
      <c r="E36" s="95" t="n">
        <v>1.7271</v>
      </c>
      <c r="F36" s="95" t="n">
        <v>0.579</v>
      </c>
      <c r="G36" s="94" t="n">
        <v>1515196</v>
      </c>
      <c r="H36" s="94" t="n">
        <v>642949</v>
      </c>
      <c r="I36" s="107" t="n">
        <v>0.4243338815572375</v>
      </c>
      <c r="J36" s="107" t="n">
        <v>0.03864705153488329</v>
      </c>
      <c r="K36" s="107" t="n">
        <v>0.1279760546858263</v>
      </c>
      <c r="L36" s="107" t="n">
        <v>0.1279760546858263</v>
      </c>
      <c r="M36" s="107" t="n">
        <v>0.1279760546858263</v>
      </c>
      <c r="N36" s="108" t="inlineStr">
        <is>
          <t>n/a</t>
        </is>
      </c>
      <c r="O36" s="107" t="n">
        <v>0.09044989815309114</v>
      </c>
      <c r="P36" s="107" t="n">
        <v>0.09044989815309114</v>
      </c>
      <c r="Q36" s="107" t="n">
        <v>0.09044989815309114</v>
      </c>
      <c r="R36" s="107" t="n">
        <v>0.03970964077396703</v>
      </c>
      <c r="S36" s="107" t="n">
        <v>2.026516094590823e-06</v>
      </c>
      <c r="T36" s="107" t="n">
        <v>0.04897979389752313</v>
      </c>
    </row>
    <row r="37">
      <c r="B37" s="93" t="inlineStr">
        <is>
          <t>RV64IM_7SP_BRAM_Opt</t>
        </is>
      </c>
      <c r="C37" s="94" t="n">
        <v>17508339</v>
      </c>
      <c r="D37" s="94" t="n">
        <v>10000001</v>
      </c>
      <c r="E37" s="95" t="n">
        <v>1.7508</v>
      </c>
      <c r="F37" s="95" t="n">
        <v>0.5712</v>
      </c>
      <c r="G37" s="94" t="n">
        <v>1515196</v>
      </c>
      <c r="H37" s="94" t="n">
        <v>642949</v>
      </c>
      <c r="I37" s="107" t="n">
        <v>0.4243338815572375</v>
      </c>
      <c r="J37" s="107" t="n">
        <v>0.03812320517668752</v>
      </c>
      <c r="K37" s="107" t="n">
        <v>0.1262396164479109</v>
      </c>
      <c r="L37" s="107" t="n">
        <v>0.1262396164479109</v>
      </c>
      <c r="M37" s="107" t="n">
        <v>0.1262396164479109</v>
      </c>
      <c r="N37" s="108" t="inlineStr">
        <is>
          <t>n/a</t>
        </is>
      </c>
      <c r="O37" s="107" t="n">
        <v>0.08922211296000152</v>
      </c>
      <c r="P37" s="107" t="n">
        <v>0.08922211296000152</v>
      </c>
      <c r="Q37" s="107" t="n">
        <v>0.08922211296000152</v>
      </c>
      <c r="R37" s="107" t="n">
        <v>0.03917139141525647</v>
      </c>
      <c r="S37" s="107" t="n">
        <v>1.999047425344003e-06</v>
      </c>
      <c r="T37" s="107" t="n">
        <v>0.0483158910733908</v>
      </c>
    </row>
    <row r="38">
      <c r="B38" s="93" t="inlineStr">
        <is>
          <t>RV64IM_8SP_withoutOpt</t>
        </is>
      </c>
      <c r="C38" s="94" t="n">
        <v>20672026</v>
      </c>
      <c r="D38" s="94" t="n">
        <v>10000001</v>
      </c>
      <c r="E38" s="95" t="n">
        <v>2.0672</v>
      </c>
      <c r="F38" s="95" t="n">
        <v>0.4837</v>
      </c>
      <c r="G38" s="94" t="n">
        <v>1515196</v>
      </c>
      <c r="H38" s="94" t="n">
        <v>645525</v>
      </c>
      <c r="I38" s="107" t="n">
        <v>0.4260339916420054</v>
      </c>
      <c r="J38" s="107" t="n">
        <v>0.03243097701212257</v>
      </c>
      <c r="K38" s="107" t="n">
        <v>0.2280500711444539</v>
      </c>
      <c r="L38" s="107" t="n">
        <v>0.2280500711444539</v>
      </c>
      <c r="M38" s="107" t="n">
        <v>0.2280500711444539</v>
      </c>
      <c r="N38" s="107" t="n">
        <v>0.07558504425255658</v>
      </c>
      <c r="O38" s="107" t="n">
        <v>0.07558504425255658</v>
      </c>
      <c r="P38" s="107" t="n">
        <v>0.07558504425255658</v>
      </c>
      <c r="Q38" s="107" t="n">
        <v>0.07558504425255658</v>
      </c>
      <c r="R38" s="107" t="n">
        <v>0.1649940359014641</v>
      </c>
      <c r="S38" s="107" t="n">
        <v>1.693109325617141e-06</v>
      </c>
      <c r="T38" s="107" t="n">
        <v>0.04092153328367525</v>
      </c>
    </row>
    <row r="39">
      <c r="B39" s="93" t="inlineStr">
        <is>
          <t>RV64IM_8SP</t>
        </is>
      </c>
      <c r="C39" s="94" t="n">
        <v>20909384</v>
      </c>
      <c r="D39" s="94" t="n">
        <v>10000001</v>
      </c>
      <c r="E39" s="95" t="n">
        <v>2.0909</v>
      </c>
      <c r="F39" s="95" t="n">
        <v>0.4783</v>
      </c>
      <c r="G39" s="94" t="n">
        <v>1515196</v>
      </c>
      <c r="H39" s="94" t="n">
        <v>645525</v>
      </c>
      <c r="I39" s="107" t="n">
        <v>0.4260339916420054</v>
      </c>
      <c r="J39" s="107" t="n">
        <v>0.03206282882365162</v>
      </c>
      <c r="K39" s="107" t="n">
        <v>0.2254614004888905</v>
      </c>
      <c r="L39" s="107" t="n">
        <v>0.2254614004888905</v>
      </c>
      <c r="M39" s="107" t="n">
        <v>0.2254614004888905</v>
      </c>
      <c r="N39" s="107" t="n">
        <v>0.07472702208730779</v>
      </c>
      <c r="O39" s="107" t="n">
        <v>0.07472702208730779</v>
      </c>
      <c r="P39" s="107" t="n">
        <v>0.07472702208730779</v>
      </c>
      <c r="Q39" s="107" t="n">
        <v>0.07472702208730779</v>
      </c>
      <c r="R39" s="107" t="n">
        <v>0.1697200166202888</v>
      </c>
      <c r="S39" s="107" t="n">
        <v>1.673889579913019e-06</v>
      </c>
      <c r="T39" s="107" t="n">
        <v>0.04045700246358286</v>
      </c>
    </row>
    <row r="41">
      <c r="B41" s="102" t="inlineStr">
        <is>
          <t>n/a = the variant has no such pipeline stage, determined from the instrumented RTL (SIM_prof[bit] tied to 1'b0), not inferred from a zero count.  Rendering these as 0 would read as 'never stalled'.</t>
        </is>
      </c>
    </row>
  </sheetData>
  <mergeCells count="1">
    <mergeCell ref="B3:P3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U23"/>
  <sheetViews>
    <sheetView workbookViewId="0">
      <selection activeCell="A1" sqref="A1"/>
    </sheetView>
  </sheetViews>
  <sheetFormatPr baseColWidth="8" defaultRowHeight="15"/>
  <cols>
    <col width="3" customWidth="1" min="1" max="1"/>
    <col width="2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</cols>
  <sheetData>
    <row r="2">
      <c r="B2" s="91" t="inlineStr">
        <is>
          <t>Embench-IoT, all 19 benchmarks x 16 variants (RTL simulation)</t>
        </is>
      </c>
    </row>
    <row r="3" ht="28" customHeight="1">
      <c r="B3" s="104" t="inlineStr">
        <is>
          <t>Cycles.  Five of these were also measured on FPGA; see Research_data_Embench_0918-A.xlsx.  xgboost is absent from the FPGA set: at 41-45 KB it exceeds the 32 KB instruction memory.</t>
        </is>
      </c>
      <c r="C3" s="105" t="n"/>
      <c r="D3" s="105" t="n"/>
      <c r="E3" s="105" t="n"/>
      <c r="F3" s="105" t="n"/>
      <c r="G3" s="105" t="n"/>
      <c r="H3" s="105" t="n"/>
      <c r="I3" s="105" t="n"/>
      <c r="J3" s="105" t="n"/>
      <c r="K3" s="105" t="n"/>
      <c r="L3" s="105" t="n"/>
      <c r="M3" s="105" t="n"/>
      <c r="N3" s="105" t="n"/>
      <c r="O3" s="105" t="n"/>
      <c r="P3" s="105" t="n"/>
      <c r="Q3" s="105" t="n"/>
      <c r="R3" s="105" t="n"/>
      <c r="S3" s="105" t="n"/>
      <c r="T3" s="105" t="n"/>
      <c r="U3" s="106" t="n"/>
    </row>
    <row r="5">
      <c r="B5" s="91" t="inlineStr">
        <is>
          <t>variant</t>
        </is>
      </c>
      <c r="C5" s="92" t="inlineStr">
        <is>
          <t>aha-mont64</t>
        </is>
      </c>
      <c r="D5" s="92" t="inlineStr">
        <is>
          <t>crc32</t>
        </is>
      </c>
      <c r="E5" s="92" t="inlineStr">
        <is>
          <t>depthconv</t>
        </is>
      </c>
      <c r="F5" s="92" t="inlineStr">
        <is>
          <t>edn</t>
        </is>
      </c>
      <c r="G5" s="92" t="inlineStr">
        <is>
          <t>huffbench</t>
        </is>
      </c>
      <c r="H5" s="92" t="inlineStr">
        <is>
          <t>matmult-int</t>
        </is>
      </c>
      <c r="I5" s="92" t="inlineStr">
        <is>
          <t>md5sum</t>
        </is>
      </c>
      <c r="J5" s="92" t="inlineStr">
        <is>
          <t>nettle-aes</t>
        </is>
      </c>
      <c r="K5" s="92" t="inlineStr">
        <is>
          <t>nettle-sha256</t>
        </is>
      </c>
      <c r="L5" s="92" t="inlineStr">
        <is>
          <t>nsichneu</t>
        </is>
      </c>
      <c r="M5" s="92" t="inlineStr">
        <is>
          <t>picojpeg</t>
        </is>
      </c>
      <c r="N5" s="92" t="inlineStr">
        <is>
          <t>qrduino</t>
        </is>
      </c>
      <c r="O5" s="92" t="inlineStr">
        <is>
          <t>sglib-combined</t>
        </is>
      </c>
      <c r="P5" s="92" t="inlineStr">
        <is>
          <t>slre</t>
        </is>
      </c>
      <c r="Q5" s="92" t="inlineStr">
        <is>
          <t>statemate</t>
        </is>
      </c>
      <c r="R5" s="92" t="inlineStr">
        <is>
          <t>tarfind</t>
        </is>
      </c>
      <c r="S5" s="92" t="inlineStr">
        <is>
          <t>ud</t>
        </is>
      </c>
      <c r="T5" s="92" t="inlineStr">
        <is>
          <t>wikisort</t>
        </is>
      </c>
      <c r="U5" s="92" t="inlineStr">
        <is>
          <t>xgboost</t>
        </is>
      </c>
    </row>
    <row r="6">
      <c r="B6" s="93" t="inlineStr">
        <is>
          <t>RV32I_5SP</t>
        </is>
      </c>
      <c r="C6" s="94" t="n">
        <v>14681201</v>
      </c>
      <c r="D6" s="109" t="n">
        <v>43005161</v>
      </c>
      <c r="E6" s="94" t="n">
        <v>129490930</v>
      </c>
      <c r="F6" s="94" t="n">
        <v>86174157</v>
      </c>
      <c r="G6" s="94" t="n">
        <v>3484371</v>
      </c>
      <c r="H6" s="109" t="n">
        <v>32009699</v>
      </c>
      <c r="I6" s="109" t="n">
        <v>2916384</v>
      </c>
      <c r="J6" s="109" t="n">
        <v>5104797</v>
      </c>
      <c r="K6" s="94" t="n">
        <v>4716400</v>
      </c>
      <c r="L6" s="94" t="n">
        <v>2333521</v>
      </c>
      <c r="M6" s="94" t="n">
        <v>5389035</v>
      </c>
      <c r="N6" s="94" t="n">
        <v>7285291</v>
      </c>
      <c r="O6" s="94" t="n">
        <v>4506733</v>
      </c>
      <c r="P6" s="94" t="n">
        <v>4272033</v>
      </c>
      <c r="Q6" s="109" t="n">
        <v>3646449</v>
      </c>
      <c r="R6" s="94" t="n">
        <v>14211451</v>
      </c>
      <c r="S6" s="94" t="n">
        <v>9930058</v>
      </c>
      <c r="T6" s="110" t="inlineStr">
        <is>
          <t>no result</t>
        </is>
      </c>
      <c r="U6" s="94" t="n">
        <v>3821692</v>
      </c>
    </row>
    <row r="7">
      <c r="B7" s="93" t="inlineStr">
        <is>
          <t>RV32IM_5SP</t>
        </is>
      </c>
      <c r="C7" s="94" t="n">
        <v>5622111</v>
      </c>
      <c r="D7" s="109" t="n">
        <v>5578645</v>
      </c>
      <c r="E7" s="94" t="n">
        <v>31077175</v>
      </c>
      <c r="F7" s="94" t="n">
        <v>5795907</v>
      </c>
      <c r="G7" s="94" t="n">
        <v>3523851</v>
      </c>
      <c r="H7" s="109" t="n">
        <v>4300823</v>
      </c>
      <c r="I7" s="109" t="n">
        <v>3133722</v>
      </c>
      <c r="J7" s="109" t="n">
        <v>4867677</v>
      </c>
      <c r="K7" s="94" t="n">
        <v>4716400</v>
      </c>
      <c r="L7" s="94" t="n">
        <v>2333521</v>
      </c>
      <c r="M7" s="94" t="n">
        <v>4647680</v>
      </c>
      <c r="N7" s="94" t="n">
        <v>4017654</v>
      </c>
      <c r="O7" s="94" t="n">
        <v>4325135</v>
      </c>
      <c r="P7" s="94" t="n">
        <v>4272033</v>
      </c>
      <c r="Q7" s="109" t="n">
        <v>3646449</v>
      </c>
      <c r="R7" s="94" t="n">
        <v>2693218</v>
      </c>
      <c r="S7" s="94" t="n">
        <v>5667484</v>
      </c>
      <c r="T7" s="110" t="inlineStr">
        <is>
          <t>no result</t>
        </is>
      </c>
      <c r="U7" s="94" t="n">
        <v>3821692</v>
      </c>
    </row>
    <row r="8">
      <c r="B8" s="93" t="inlineStr">
        <is>
          <t>RV32IM_6SP</t>
        </is>
      </c>
      <c r="C8" s="94" t="n">
        <v>5727368</v>
      </c>
      <c r="D8" s="109" t="n">
        <v>5579156</v>
      </c>
      <c r="E8" s="94" t="n">
        <v>32935802</v>
      </c>
      <c r="F8" s="94" t="n">
        <v>5879497</v>
      </c>
      <c r="G8" s="94" t="n">
        <v>4079091</v>
      </c>
      <c r="H8" s="109" t="n">
        <v>4318644</v>
      </c>
      <c r="I8" s="109" t="n">
        <v>3187710</v>
      </c>
      <c r="J8" s="109" t="n">
        <v>5010025</v>
      </c>
      <c r="K8" s="94" t="n">
        <v>4783837</v>
      </c>
      <c r="L8" s="94" t="n">
        <v>3261218</v>
      </c>
      <c r="M8" s="94" t="n">
        <v>4711760</v>
      </c>
      <c r="N8" s="94" t="n">
        <v>4341045</v>
      </c>
      <c r="O8" s="94" t="n">
        <v>4861123</v>
      </c>
      <c r="P8" s="94" t="n">
        <v>4685572</v>
      </c>
      <c r="Q8" s="109" t="n">
        <v>3872887</v>
      </c>
      <c r="R8" s="94" t="n">
        <v>2734615</v>
      </c>
      <c r="S8" s="94" t="n">
        <v>5869194</v>
      </c>
      <c r="T8" s="110" t="inlineStr">
        <is>
          <t>no result</t>
        </is>
      </c>
      <c r="U8" s="94" t="n">
        <v>4395812</v>
      </c>
    </row>
    <row r="9">
      <c r="B9" s="93" t="inlineStr">
        <is>
          <t>RV32IM_7SP</t>
        </is>
      </c>
      <c r="C9" s="94" t="n">
        <v>6851680</v>
      </c>
      <c r="D9" s="109" t="n">
        <v>6626364</v>
      </c>
      <c r="E9" s="94" t="n">
        <v>37918376</v>
      </c>
      <c r="F9" s="94" t="n">
        <v>6576265</v>
      </c>
      <c r="G9" s="94" t="n">
        <v>5541177</v>
      </c>
      <c r="H9" s="109" t="n">
        <v>4984226</v>
      </c>
      <c r="I9" s="109" t="n">
        <v>4084922</v>
      </c>
      <c r="J9" s="109" t="n">
        <v>5244115</v>
      </c>
      <c r="K9" s="94" t="n">
        <v>4942327</v>
      </c>
      <c r="L9" s="94" t="n">
        <v>3586476</v>
      </c>
      <c r="M9" s="94" t="n">
        <v>5894000</v>
      </c>
      <c r="N9" s="94" t="n">
        <v>5391825</v>
      </c>
      <c r="O9" s="94" t="n">
        <v>6232073</v>
      </c>
      <c r="P9" s="94" t="n">
        <v>6215618</v>
      </c>
      <c r="Q9" s="109" t="n">
        <v>4385713</v>
      </c>
      <c r="R9" s="94" t="n">
        <v>3067015</v>
      </c>
      <c r="S9" s="94" t="n">
        <v>6911640</v>
      </c>
      <c r="T9" s="110" t="inlineStr">
        <is>
          <t>no result</t>
        </is>
      </c>
      <c r="U9" s="94" t="n">
        <v>5375388</v>
      </c>
    </row>
    <row r="10">
      <c r="B10" s="93" t="inlineStr">
        <is>
          <t>RV32IM_7SP_BRAM</t>
        </is>
      </c>
      <c r="C10" s="94" t="n">
        <v>6922931</v>
      </c>
      <c r="D10" s="109" t="n">
        <v>6801433</v>
      </c>
      <c r="E10" s="94" t="n">
        <v>39049254</v>
      </c>
      <c r="F10" s="94" t="n">
        <v>6712646</v>
      </c>
      <c r="G10" s="94" t="n">
        <v>5741374</v>
      </c>
      <c r="H10" s="109" t="n">
        <v>5385429</v>
      </c>
      <c r="I10" s="109" t="n">
        <v>4195839</v>
      </c>
      <c r="J10" s="109" t="n">
        <v>5372071</v>
      </c>
      <c r="K10" s="94" t="n">
        <v>5078302</v>
      </c>
      <c r="L10" s="94" t="n">
        <v>3590142</v>
      </c>
      <c r="M10" s="94" t="n">
        <v>6319437</v>
      </c>
      <c r="N10" s="94" t="n">
        <v>5460610</v>
      </c>
      <c r="O10" s="94" t="n">
        <v>6561301</v>
      </c>
      <c r="P10" s="94" t="n">
        <v>6557559</v>
      </c>
      <c r="Q10" s="109" t="n">
        <v>5234834</v>
      </c>
      <c r="R10" s="94" t="n">
        <v>3267967</v>
      </c>
      <c r="S10" s="94" t="n">
        <v>7066901</v>
      </c>
      <c r="T10" s="110" t="inlineStr">
        <is>
          <t>no result</t>
        </is>
      </c>
      <c r="U10" s="94" t="n">
        <v>5427841</v>
      </c>
    </row>
    <row r="11">
      <c r="B11" s="93" t="inlineStr">
        <is>
          <t>RV32IM_7SP_BRAM_Opt</t>
        </is>
      </c>
      <c r="C11" s="94" t="n">
        <v>6925296</v>
      </c>
      <c r="D11" s="109" t="n">
        <v>7150448</v>
      </c>
      <c r="E11" s="94" t="n">
        <v>40894774</v>
      </c>
      <c r="F11" s="94" t="n">
        <v>6703580</v>
      </c>
      <c r="G11" s="94" t="n">
        <v>5961793</v>
      </c>
      <c r="H11" s="109" t="n">
        <v>5385786</v>
      </c>
      <c r="I11" s="109" t="n">
        <v>4349888</v>
      </c>
      <c r="J11" s="109" t="n">
        <v>5420185</v>
      </c>
      <c r="K11" s="94" t="n">
        <v>5103036</v>
      </c>
      <c r="L11" s="94" t="n">
        <v>3592611</v>
      </c>
      <c r="M11" s="94" t="n">
        <v>6616318</v>
      </c>
      <c r="N11" s="94" t="n">
        <v>5615676</v>
      </c>
      <c r="O11" s="94" t="n">
        <v>6802889</v>
      </c>
      <c r="P11" s="94" t="n">
        <v>6881204</v>
      </c>
      <c r="Q11" s="109" t="n">
        <v>5328080</v>
      </c>
      <c r="R11" s="94" t="n">
        <v>3353945</v>
      </c>
      <c r="S11" s="94" t="n">
        <v>7202566</v>
      </c>
      <c r="T11" s="110" t="inlineStr">
        <is>
          <t>no result</t>
        </is>
      </c>
      <c r="U11" s="94" t="n">
        <v>5508335</v>
      </c>
    </row>
    <row r="12">
      <c r="B12" s="93" t="inlineStr">
        <is>
          <t>RV32IM_8SP_withoutOpt</t>
        </is>
      </c>
      <c r="C12" s="94" t="n">
        <v>7849954</v>
      </c>
      <c r="D12" s="109" t="n">
        <v>8892445</v>
      </c>
      <c r="E12" s="94" t="n">
        <v>46278897</v>
      </c>
      <c r="F12" s="94" t="n">
        <v>7513828</v>
      </c>
      <c r="G12" s="94" t="n">
        <v>7070252</v>
      </c>
      <c r="H12" s="109" t="n">
        <v>5767444</v>
      </c>
      <c r="I12" s="109" t="n">
        <v>5089164</v>
      </c>
      <c r="J12" s="109" t="n">
        <v>6100695</v>
      </c>
      <c r="K12" s="94" t="n">
        <v>7022269</v>
      </c>
      <c r="L12" s="94" t="n">
        <v>4524017</v>
      </c>
      <c r="M12" s="94" t="n">
        <v>7663349</v>
      </c>
      <c r="N12" s="94" t="n">
        <v>7123531</v>
      </c>
      <c r="O12" s="94" t="n">
        <v>7842324</v>
      </c>
      <c r="P12" s="94" t="n">
        <v>7765942</v>
      </c>
      <c r="Q12" s="109" t="n">
        <v>6979764</v>
      </c>
      <c r="R12" s="94" t="n">
        <v>3686666</v>
      </c>
      <c r="S12" s="94" t="n">
        <v>7716655</v>
      </c>
      <c r="T12" s="110" t="inlineStr">
        <is>
          <t>no result</t>
        </is>
      </c>
      <c r="U12" s="94" t="n">
        <v>7595219</v>
      </c>
    </row>
    <row r="13">
      <c r="B13" s="93" t="inlineStr">
        <is>
          <t>RV32IM_8SP</t>
        </is>
      </c>
      <c r="C13" s="94" t="n">
        <v>7852319</v>
      </c>
      <c r="D13" s="109" t="n">
        <v>9241460</v>
      </c>
      <c r="E13" s="94" t="n">
        <v>48124417</v>
      </c>
      <c r="F13" s="94" t="n">
        <v>7491802</v>
      </c>
      <c r="G13" s="94" t="n">
        <v>7290671</v>
      </c>
      <c r="H13" s="109" t="n">
        <v>5767801</v>
      </c>
      <c r="I13" s="109" t="n">
        <v>5243213</v>
      </c>
      <c r="J13" s="109" t="n">
        <v>6148809</v>
      </c>
      <c r="K13" s="94" t="n">
        <v>7047003</v>
      </c>
      <c r="L13" s="94" t="n">
        <v>4526486</v>
      </c>
      <c r="M13" s="94" t="n">
        <v>7960230</v>
      </c>
      <c r="N13" s="94" t="n">
        <v>7278647</v>
      </c>
      <c r="O13" s="94" t="n">
        <v>8084935</v>
      </c>
      <c r="P13" s="94" t="n">
        <v>8089587</v>
      </c>
      <c r="Q13" s="109" t="n">
        <v>7073010</v>
      </c>
      <c r="R13" s="94" t="n">
        <v>3772644</v>
      </c>
      <c r="S13" s="94" t="n">
        <v>7852320</v>
      </c>
      <c r="T13" s="110" t="inlineStr">
        <is>
          <t>no result</t>
        </is>
      </c>
      <c r="U13" s="94" t="n">
        <v>7675713</v>
      </c>
    </row>
    <row r="14">
      <c r="B14" s="93" t="inlineStr">
        <is>
          <t>RV64I_5SP</t>
        </is>
      </c>
      <c r="C14" s="94" t="n">
        <v>6587789</v>
      </c>
      <c r="D14" s="109" t="n">
        <v>43005651</v>
      </c>
      <c r="E14" s="94" t="n">
        <v>139841195</v>
      </c>
      <c r="F14" s="94" t="n">
        <v>150330835</v>
      </c>
      <c r="G14" s="110" t="inlineStr">
        <is>
          <t>no result</t>
        </is>
      </c>
      <c r="H14" s="109" t="n">
        <v>31994157</v>
      </c>
      <c r="I14" s="109" t="n">
        <v>2947978</v>
      </c>
      <c r="J14" s="109" t="n">
        <v>5526957</v>
      </c>
      <c r="K14" s="94" t="n">
        <v>4643322</v>
      </c>
      <c r="L14" s="94" t="n">
        <v>2646417</v>
      </c>
      <c r="M14" s="94" t="n">
        <v>5626255</v>
      </c>
      <c r="N14" s="94" t="n">
        <v>7336382</v>
      </c>
      <c r="O14" s="94" t="n">
        <v>4586477</v>
      </c>
      <c r="P14" s="110" t="inlineStr">
        <is>
          <t>no result</t>
        </is>
      </c>
      <c r="Q14" s="109" t="n">
        <v>3633109</v>
      </c>
      <c r="R14" s="94" t="n">
        <v>14198092</v>
      </c>
      <c r="S14" s="94" t="n">
        <v>10561928</v>
      </c>
      <c r="T14" s="110" t="inlineStr">
        <is>
          <t>no result</t>
        </is>
      </c>
      <c r="U14" s="94" t="n">
        <v>3821650</v>
      </c>
    </row>
    <row r="15">
      <c r="B15" s="93" t="inlineStr">
        <is>
          <t>RV64IM_5SP</t>
        </is>
      </c>
      <c r="C15" s="94" t="n">
        <v>2463931</v>
      </c>
      <c r="D15" s="109" t="n">
        <v>5579135</v>
      </c>
      <c r="E15" s="94" t="n">
        <v>29606972</v>
      </c>
      <c r="F15" s="94" t="n">
        <v>5783899</v>
      </c>
      <c r="G15" s="110" t="inlineStr">
        <is>
          <t>no result</t>
        </is>
      </c>
      <c r="H15" s="109" t="n">
        <v>4300725</v>
      </c>
      <c r="I15" s="109" t="n">
        <v>3165316</v>
      </c>
      <c r="J15" s="109" t="n">
        <v>5265973</v>
      </c>
      <c r="K15" s="94" t="n">
        <v>4643322</v>
      </c>
      <c r="L15" s="94" t="n">
        <v>2646417</v>
      </c>
      <c r="M15" s="94" t="n">
        <v>4661900</v>
      </c>
      <c r="N15" s="94" t="n">
        <v>4127150</v>
      </c>
      <c r="O15" s="94" t="n">
        <v>4395579</v>
      </c>
      <c r="P15" s="110" t="inlineStr">
        <is>
          <t>no result</t>
        </is>
      </c>
      <c r="Q15" s="109" t="n">
        <v>3633109</v>
      </c>
      <c r="R15" s="94" t="n">
        <v>2679859</v>
      </c>
      <c r="S15" s="94" t="n">
        <v>7138304</v>
      </c>
      <c r="T15" s="110" t="inlineStr">
        <is>
          <t>no result</t>
        </is>
      </c>
      <c r="U15" s="94" t="n">
        <v>3821650</v>
      </c>
    </row>
    <row r="16">
      <c r="B16" s="93" t="inlineStr">
        <is>
          <t>RV64IM_6SP</t>
        </is>
      </c>
      <c r="C16" s="94" t="n">
        <v>2567774</v>
      </c>
      <c r="D16" s="109" t="n">
        <v>5579648</v>
      </c>
      <c r="E16" s="94" t="n">
        <v>31988442</v>
      </c>
      <c r="F16" s="94" t="n">
        <v>5865385</v>
      </c>
      <c r="G16" s="110" t="inlineStr">
        <is>
          <t>no result</t>
        </is>
      </c>
      <c r="H16" s="109" t="n">
        <v>4318548</v>
      </c>
      <c r="I16" s="109" t="n">
        <v>3219768</v>
      </c>
      <c r="J16" s="109" t="n">
        <v>5298275</v>
      </c>
      <c r="K16" s="94" t="n">
        <v>4717506</v>
      </c>
      <c r="L16" s="94" t="n">
        <v>3574116</v>
      </c>
      <c r="M16" s="94" t="n">
        <v>4719747</v>
      </c>
      <c r="N16" s="94" t="n">
        <v>4498278</v>
      </c>
      <c r="O16" s="94" t="n">
        <v>4939908</v>
      </c>
      <c r="P16" s="110" t="inlineStr">
        <is>
          <t>no result</t>
        </is>
      </c>
      <c r="Q16" s="109" t="n">
        <v>3859549</v>
      </c>
      <c r="R16" s="94" t="n">
        <v>2721258</v>
      </c>
      <c r="S16" s="94" t="n">
        <v>7348941</v>
      </c>
      <c r="T16" s="110" t="inlineStr">
        <is>
          <t>no result</t>
        </is>
      </c>
      <c r="U16" s="94" t="n">
        <v>4395765</v>
      </c>
    </row>
    <row r="17">
      <c r="B17" s="93" t="inlineStr">
        <is>
          <t>RV64IM_7SP</t>
        </is>
      </c>
      <c r="C17" s="94" t="n">
        <v>3497622</v>
      </c>
      <c r="D17" s="109" t="n">
        <v>6626856</v>
      </c>
      <c r="E17" s="94" t="n">
        <v>36853008</v>
      </c>
      <c r="F17" s="94" t="n">
        <v>6562153</v>
      </c>
      <c r="G17" s="110" t="inlineStr">
        <is>
          <t>no result</t>
        </is>
      </c>
      <c r="H17" s="109" t="n">
        <v>4984130</v>
      </c>
      <c r="I17" s="109" t="n">
        <v>4118828</v>
      </c>
      <c r="J17" s="109" t="n">
        <v>5532365</v>
      </c>
      <c r="K17" s="94" t="n">
        <v>4856890</v>
      </c>
      <c r="L17" s="94" t="n">
        <v>3899374</v>
      </c>
      <c r="M17" s="94" t="n">
        <v>5905007</v>
      </c>
      <c r="N17" s="94" t="n">
        <v>5585558</v>
      </c>
      <c r="O17" s="94" t="n">
        <v>6301620</v>
      </c>
      <c r="P17" s="110" t="inlineStr">
        <is>
          <t>no result</t>
        </is>
      </c>
      <c r="Q17" s="109" t="n">
        <v>4372375</v>
      </c>
      <c r="R17" s="94" t="n">
        <v>3053658</v>
      </c>
      <c r="S17" s="94" t="n">
        <v>8391387</v>
      </c>
      <c r="T17" s="110" t="inlineStr">
        <is>
          <t>no result</t>
        </is>
      </c>
      <c r="U17" s="94" t="n">
        <v>5375853</v>
      </c>
    </row>
    <row r="18">
      <c r="B18" s="93" t="inlineStr">
        <is>
          <t>RV64IM_7SP_BRAM</t>
        </is>
      </c>
      <c r="C18" s="94" t="n">
        <v>3498584</v>
      </c>
      <c r="D18" s="109" t="n">
        <v>6801967</v>
      </c>
      <c r="E18" s="94" t="n">
        <v>38041293</v>
      </c>
      <c r="F18" s="94" t="n">
        <v>6689909</v>
      </c>
      <c r="G18" s="110" t="inlineStr">
        <is>
          <t>no result</t>
        </is>
      </c>
      <c r="H18" s="109" t="n">
        <v>5385336</v>
      </c>
      <c r="I18" s="109" t="n">
        <v>4210911</v>
      </c>
      <c r="J18" s="109" t="n">
        <v>5592571</v>
      </c>
      <c r="K18" s="94" t="n">
        <v>4970989</v>
      </c>
      <c r="L18" s="94" t="n">
        <v>3903079</v>
      </c>
      <c r="M18" s="94" t="n">
        <v>6331621</v>
      </c>
      <c r="N18" s="94" t="n">
        <v>5654339</v>
      </c>
      <c r="O18" s="94" t="n">
        <v>6628968</v>
      </c>
      <c r="P18" s="110" t="inlineStr">
        <is>
          <t>no result</t>
        </is>
      </c>
      <c r="Q18" s="109" t="n">
        <v>5188238</v>
      </c>
      <c r="R18" s="94" t="n">
        <v>3200418</v>
      </c>
      <c r="S18" s="94" t="n">
        <v>8550260</v>
      </c>
      <c r="T18" s="110" t="inlineStr">
        <is>
          <t>no result</t>
        </is>
      </c>
      <c r="U18" s="94" t="n">
        <v>5428092</v>
      </c>
    </row>
    <row r="19">
      <c r="B19" s="93" t="inlineStr">
        <is>
          <t>RV64IM_7SP_BRAM_Opt</t>
        </is>
      </c>
      <c r="C19" s="94" t="n">
        <v>3538680</v>
      </c>
      <c r="D19" s="109" t="n">
        <v>7150953</v>
      </c>
      <c r="E19" s="94" t="n">
        <v>39676992</v>
      </c>
      <c r="F19" s="94" t="n">
        <v>6680814</v>
      </c>
      <c r="G19" s="110" t="inlineStr">
        <is>
          <t>no result</t>
        </is>
      </c>
      <c r="H19" s="109" t="n">
        <v>5385664</v>
      </c>
      <c r="I19" s="109" t="n">
        <v>4364931</v>
      </c>
      <c r="J19" s="109" t="n">
        <v>5640656</v>
      </c>
      <c r="K19" s="94" t="n">
        <v>4991760</v>
      </c>
      <c r="L19" s="94" t="n">
        <v>3905519</v>
      </c>
      <c r="M19" s="94" t="n">
        <v>6628468</v>
      </c>
      <c r="N19" s="94" t="n">
        <v>5810016</v>
      </c>
      <c r="O19" s="94" t="n">
        <v>6859832</v>
      </c>
      <c r="P19" s="110" t="inlineStr">
        <is>
          <t>no result</t>
        </is>
      </c>
      <c r="Q19" s="109" t="n">
        <v>5281455</v>
      </c>
      <c r="R19" s="94" t="n">
        <v>3286367</v>
      </c>
      <c r="S19" s="94" t="n">
        <v>8685896</v>
      </c>
      <c r="T19" s="110" t="inlineStr">
        <is>
          <t>no result</t>
        </is>
      </c>
      <c r="U19" s="94" t="n">
        <v>5508683</v>
      </c>
    </row>
    <row r="20">
      <c r="B20" s="93" t="inlineStr">
        <is>
          <t>RV64IM_8SP_withoutOpt</t>
        </is>
      </c>
      <c r="C20" s="94" t="n">
        <v>4232996</v>
      </c>
      <c r="D20" s="109" t="n">
        <v>8893118</v>
      </c>
      <c r="E20" s="94" t="n">
        <v>45595427</v>
      </c>
      <c r="F20" s="94" t="n">
        <v>7494462</v>
      </c>
      <c r="G20" s="110" t="inlineStr">
        <is>
          <t>no result</t>
        </is>
      </c>
      <c r="H20" s="109" t="n">
        <v>5767281</v>
      </c>
      <c r="I20" s="109" t="n">
        <v>5172449</v>
      </c>
      <c r="J20" s="109" t="n">
        <v>6418976</v>
      </c>
      <c r="K20" s="94" t="n">
        <v>6959886</v>
      </c>
      <c r="L20" s="94" t="n">
        <v>5149848</v>
      </c>
      <c r="M20" s="94" t="n">
        <v>7673537</v>
      </c>
      <c r="N20" s="94" t="n">
        <v>7345783</v>
      </c>
      <c r="O20" s="94" t="n">
        <v>7989723</v>
      </c>
      <c r="P20" s="110" t="inlineStr">
        <is>
          <t>no result</t>
        </is>
      </c>
      <c r="Q20" s="109" t="n">
        <v>6973097</v>
      </c>
      <c r="R20" s="94" t="n">
        <v>3651608</v>
      </c>
      <c r="S20" s="94" t="n">
        <v>9180348</v>
      </c>
      <c r="T20" s="110" t="inlineStr">
        <is>
          <t>no result</t>
        </is>
      </c>
      <c r="U20" s="94" t="n">
        <v>7492902</v>
      </c>
    </row>
    <row r="21">
      <c r="B21" s="93" t="inlineStr">
        <is>
          <t>RV64IM_8SP</t>
        </is>
      </c>
      <c r="C21" s="94" t="n">
        <v>4273121</v>
      </c>
      <c r="D21" s="109" t="n">
        <v>9242133</v>
      </c>
      <c r="E21" s="94" t="n">
        <v>47231155</v>
      </c>
      <c r="F21" s="94" t="n">
        <v>7472436</v>
      </c>
      <c r="G21" s="110" t="inlineStr">
        <is>
          <t>no result</t>
        </is>
      </c>
      <c r="H21" s="109" t="n">
        <v>5767638</v>
      </c>
      <c r="I21" s="109" t="n">
        <v>5326498</v>
      </c>
      <c r="J21" s="109" t="n">
        <v>6467090</v>
      </c>
      <c r="K21" s="94" t="n">
        <v>6980686</v>
      </c>
      <c r="L21" s="94" t="n">
        <v>5152317</v>
      </c>
      <c r="M21" s="94" t="n">
        <v>7970413</v>
      </c>
      <c r="N21" s="94" t="n">
        <v>7501514</v>
      </c>
      <c r="O21" s="94" t="n">
        <v>8220616</v>
      </c>
      <c r="P21" s="110" t="inlineStr">
        <is>
          <t>no result</t>
        </is>
      </c>
      <c r="Q21" s="109" t="n">
        <v>7066343</v>
      </c>
      <c r="R21" s="94" t="n">
        <v>3737586</v>
      </c>
      <c r="S21" s="94" t="n">
        <v>9316013</v>
      </c>
      <c r="T21" s="110" t="inlineStr">
        <is>
          <t>no result</t>
        </is>
      </c>
      <c r="U21" s="94" t="n">
        <v>7573522</v>
      </c>
    </row>
    <row r="23">
      <c r="B23" s="102" t="inlineStr">
        <is>
          <t>green = also measured on FPGA.  'no result' = exceeded the 400M-cycle simulation limit; a simulation-speed limit, not a functional failure.</t>
        </is>
      </c>
    </row>
  </sheetData>
  <mergeCells count="1">
    <mergeCell ref="B3:U3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2:L29"/>
  <sheetViews>
    <sheetView workbookViewId="0">
      <selection activeCell="A1" sqref="A1"/>
    </sheetView>
  </sheetViews>
  <sheetFormatPr baseColWidth="8" defaultRowHeight="15"/>
  <cols>
    <col width="3" customWidth="1" min="1" max="1"/>
    <col width="30" customWidth="1" min="2" max="2"/>
    <col width="10" customWidth="1" min="3" max="3"/>
    <col width="10" customWidth="1" min="4" max="4"/>
    <col width="10" customWidth="1" min="5" max="5"/>
    <col width="10" customWidth="1" min="6" max="6"/>
    <col width="8" customWidth="1" min="7" max="7"/>
    <col width="8" customWidth="1" min="8" max="8"/>
    <col width="11" customWidth="1" min="9" max="9"/>
    <col width="11" customWidth="1" min="10" max="10"/>
    <col width="46" customWidth="1" min="11" max="11"/>
  </cols>
  <sheetData>
    <row r="2">
      <c r="B2" s="91" t="inlineStr">
        <is>
          <t>Core-only synthesis against published soft cores</t>
        </is>
      </c>
    </row>
    <row r="3" ht="30" customHeight="1">
      <c r="B3" s="104" t="inlineStr">
        <is>
          <t>Identical methodology throughout: xc7a200tsbg484-1, a 5 ns constraint read BEFORE synthesis so the run is timing-driven, out-of-context so no I/O buffers count, core alone with memory at the boundary.  Fmax = 1000/(5 - WNS).</t>
        </is>
      </c>
      <c r="C3" s="105" t="n"/>
      <c r="D3" s="105" t="n"/>
      <c r="E3" s="105" t="n"/>
      <c r="F3" s="105" t="n"/>
      <c r="G3" s="105" t="n"/>
      <c r="H3" s="105" t="n"/>
      <c r="I3" s="105" t="n"/>
      <c r="J3" s="105" t="n"/>
      <c r="K3" s="106" t="n"/>
    </row>
    <row r="5">
      <c r="B5" s="91" t="inlineStr">
        <is>
          <t>core</t>
        </is>
      </c>
      <c r="C5" s="92" t="inlineStr">
        <is>
          <t>ISA</t>
        </is>
      </c>
      <c r="D5" s="92" t="inlineStr">
        <is>
          <t>LUT</t>
        </is>
      </c>
      <c r="E5" s="92" t="inlineStr">
        <is>
          <t>logic</t>
        </is>
      </c>
      <c r="F5" s="92" t="inlineStr">
        <is>
          <t>LUTRAM</t>
        </is>
      </c>
      <c r="G5" s="92" t="inlineStr">
        <is>
          <t>FF</t>
        </is>
      </c>
      <c r="H5" s="92" t="inlineStr">
        <is>
          <t>BRAM</t>
        </is>
      </c>
      <c r="I5" s="92" t="inlineStr">
        <is>
          <t>DSP</t>
        </is>
      </c>
      <c r="J5" s="92" t="inlineStr">
        <is>
          <t>WNS</t>
        </is>
      </c>
      <c r="K5" s="92" t="inlineStr">
        <is>
          <t>Fmax</t>
        </is>
      </c>
      <c r="L5" s="91" t="inlineStr">
        <is>
          <t>note</t>
        </is>
      </c>
    </row>
    <row r="6">
      <c r="B6" s="93" t="inlineStr">
        <is>
          <t>picorv32</t>
        </is>
      </c>
      <c r="C6" s="102" t="inlineStr">
        <is>
          <t>RV32IM</t>
        </is>
      </c>
      <c r="D6" s="94" t="n">
        <v>1568</v>
      </c>
      <c r="E6" s="94" t="n">
        <v>1520</v>
      </c>
      <c r="F6" s="94" t="n">
        <v>48</v>
      </c>
      <c r="G6" s="94" t="n">
        <v>1069</v>
      </c>
      <c r="H6" s="94" t="n">
        <v>0</v>
      </c>
      <c r="I6" s="94" t="n">
        <v>0</v>
      </c>
      <c r="J6" s="99" t="n">
        <v>-0.478</v>
      </c>
      <c r="K6" s="99" t="n">
        <v>182.548</v>
      </c>
      <c r="L6" s="102" t="inlineStr">
        <is>
          <t>ENABLE_MUL/DIV; multi-cycle multiplier in the ALU, hence 0 DSP</t>
        </is>
      </c>
    </row>
    <row r="7">
      <c r="B7" s="93" t="inlineStr">
        <is>
          <t>rvcorep</t>
        </is>
      </c>
      <c r="C7" s="102" t="inlineStr">
        <is>
          <t>RV32I</t>
        </is>
      </c>
      <c r="D7" s="94" t="n">
        <v>1027</v>
      </c>
      <c r="E7" s="94" t="n">
        <v>979</v>
      </c>
      <c r="F7" s="94" t="n">
        <v>48</v>
      </c>
      <c r="G7" s="94" t="n">
        <v>619</v>
      </c>
      <c r="H7" s="94" t="n">
        <v>1</v>
      </c>
      <c r="I7" s="94" t="n">
        <v>0</v>
      </c>
      <c r="J7" s="99" t="n">
        <v>-0.987</v>
      </c>
      <c r="K7" s="99" t="n">
        <v>167.029</v>
      </c>
      <c r="L7" s="102" t="inlineStr">
        <is>
          <t>v0.5.3 default config; RV32I only -- compare against RV32I_5SP</t>
        </is>
      </c>
    </row>
    <row r="8">
      <c r="B8" s="93" t="inlineStr">
        <is>
          <t>vexriscv</t>
        </is>
      </c>
      <c r="C8" s="102" t="inlineStr">
        <is>
          <t>RV32IM</t>
        </is>
      </c>
      <c r="D8" s="94" t="n">
        <v>1441</v>
      </c>
      <c r="E8" s="94" t="n">
        <v>1441</v>
      </c>
      <c r="F8" s="94" t="n">
        <v>0</v>
      </c>
      <c r="G8" s="94" t="n">
        <v>940</v>
      </c>
      <c r="H8" s="94" t="n">
        <v>1</v>
      </c>
      <c r="I8" s="94" t="n">
        <v>4</v>
      </c>
      <c r="J8" s="99" t="n">
        <v>-2.321</v>
      </c>
      <c r="K8" s="99" t="n">
        <v>136.593</v>
      </c>
      <c r="L8" s="102" t="inlineStr">
        <is>
          <t>GenFullNoMmuNoCache as shipped, includes DebugPlugin</t>
        </is>
      </c>
    </row>
    <row r="9">
      <c r="B9" s="93" t="inlineStr">
        <is>
          <t>vexriscv_nodebug</t>
        </is>
      </c>
      <c r="C9" s="102" t="inlineStr">
        <is>
          <t>RV32IM</t>
        </is>
      </c>
      <c r="D9" s="94" t="n">
        <v>1361</v>
      </c>
      <c r="E9" s="94" t="n">
        <v>1361</v>
      </c>
      <c r="F9" s="94" t="n">
        <v>0</v>
      </c>
      <c r="G9" s="94" t="n">
        <v>894</v>
      </c>
      <c r="H9" s="94" t="n">
        <v>1</v>
      </c>
      <c r="I9" s="94" t="n">
        <v>4</v>
      </c>
      <c r="J9" s="99" t="n">
        <v>-2.324</v>
      </c>
      <c r="K9" s="99" t="n">
        <v>136.537</v>
      </c>
      <c r="L9" s="102" t="inlineStr">
        <is>
          <t>DebugPlugin removed: -80 LUT, -46 FF, Fmax unchanged</t>
        </is>
      </c>
    </row>
    <row r="11">
      <c r="B11" s="91" t="inlineStr">
        <is>
          <t>RV-IM100 cores, same constraint</t>
        </is>
      </c>
    </row>
    <row r="12">
      <c r="B12" s="93" t="inlineStr">
        <is>
          <t>RV32I_5SP</t>
        </is>
      </c>
      <c r="C12" s="102" t="inlineStr">
        <is>
          <t>RV32I</t>
        </is>
      </c>
      <c r="D12" s="94" t="n">
        <v>2676</v>
      </c>
      <c r="E12" s="94" t="n">
        <v>2628</v>
      </c>
      <c r="F12" s="94" t="n">
        <v>48</v>
      </c>
      <c r="G12" s="94" t="n">
        <v>1194</v>
      </c>
      <c r="H12" s="94" t="n">
        <v>0</v>
      </c>
      <c r="I12" s="94" t="n">
        <v>0</v>
      </c>
      <c r="J12" s="99" t="n">
        <v>-11.888</v>
      </c>
      <c r="K12" s="99" t="n">
        <v>59.214</v>
      </c>
    </row>
    <row r="13">
      <c r="B13" s="93" t="inlineStr">
        <is>
          <t>RV32IM_5SP</t>
        </is>
      </c>
      <c r="C13" s="102" t="inlineStr">
        <is>
          <t>RV32IM</t>
        </is>
      </c>
      <c r="D13" s="94" t="n">
        <v>3759</v>
      </c>
      <c r="E13" s="94" t="n">
        <v>3711</v>
      </c>
      <c r="F13" s="94" t="n">
        <v>48</v>
      </c>
      <c r="G13" s="94" t="n">
        <v>1719</v>
      </c>
      <c r="H13" s="94" t="n">
        <v>0</v>
      </c>
      <c r="I13" s="94" t="n">
        <v>4</v>
      </c>
      <c r="J13" s="99" t="n">
        <v>-12.242</v>
      </c>
      <c r="K13" s="99" t="n">
        <v>57.998</v>
      </c>
    </row>
    <row r="14">
      <c r="B14" s="93" t="inlineStr">
        <is>
          <t>RV32IM_6SP</t>
        </is>
      </c>
      <c r="C14" s="102" t="inlineStr">
        <is>
          <t>RV32IM</t>
        </is>
      </c>
      <c r="D14" s="94" t="n">
        <v>3806</v>
      </c>
      <c r="E14" s="94" t="n">
        <v>3758</v>
      </c>
      <c r="F14" s="94" t="n">
        <v>48</v>
      </c>
      <c r="G14" s="94" t="n">
        <v>1986</v>
      </c>
      <c r="H14" s="94" t="n">
        <v>0</v>
      </c>
      <c r="I14" s="94" t="n">
        <v>4</v>
      </c>
      <c r="J14" s="99" t="n">
        <v>-9.558</v>
      </c>
      <c r="K14" s="99" t="n">
        <v>68.691</v>
      </c>
    </row>
    <row r="15">
      <c r="B15" s="93" t="inlineStr">
        <is>
          <t>RV32IM_7SP</t>
        </is>
      </c>
      <c r="C15" s="102" t="inlineStr">
        <is>
          <t>RV32IM</t>
        </is>
      </c>
      <c r="D15" s="94" t="n">
        <v>3151</v>
      </c>
      <c r="E15" s="94" t="n">
        <v>3103</v>
      </c>
      <c r="F15" s="94" t="n">
        <v>48</v>
      </c>
      <c r="G15" s="94" t="n">
        <v>2116</v>
      </c>
      <c r="H15" s="94" t="n">
        <v>0</v>
      </c>
      <c r="I15" s="94" t="n">
        <v>4</v>
      </c>
      <c r="J15" s="99" t="n">
        <v>-9.521000000000001</v>
      </c>
      <c r="K15" s="99" t="n">
        <v>68.866</v>
      </c>
    </row>
    <row r="16">
      <c r="B16" s="93" t="inlineStr">
        <is>
          <t>RV32IM_7SP_BRAM</t>
        </is>
      </c>
      <c r="C16" s="102" t="inlineStr">
        <is>
          <t>RV32IM</t>
        </is>
      </c>
      <c r="D16" s="94" t="n">
        <v>3188</v>
      </c>
      <c r="E16" s="94" t="n">
        <v>3140</v>
      </c>
      <c r="F16" s="94" t="n">
        <v>48</v>
      </c>
      <c r="G16" s="94" t="n">
        <v>2116</v>
      </c>
      <c r="H16" s="94" t="n">
        <v>0</v>
      </c>
      <c r="I16" s="94" t="n">
        <v>4</v>
      </c>
      <c r="J16" s="99" t="n">
        <v>-9.525</v>
      </c>
      <c r="K16" s="99" t="n">
        <v>68.84699999999999</v>
      </c>
    </row>
    <row r="17">
      <c r="B17" s="93" t="inlineStr">
        <is>
          <t>RV32IM_7SP_BRAM_Opt</t>
        </is>
      </c>
      <c r="C17" s="102" t="inlineStr">
        <is>
          <t>RV32IM</t>
        </is>
      </c>
      <c r="D17" s="94" t="n">
        <v>2633</v>
      </c>
      <c r="E17" s="94" t="n">
        <v>2585</v>
      </c>
      <c r="F17" s="94" t="n">
        <v>48</v>
      </c>
      <c r="G17" s="94" t="n">
        <v>1847</v>
      </c>
      <c r="H17" s="94" t="n">
        <v>0</v>
      </c>
      <c r="I17" s="94" t="n">
        <v>4</v>
      </c>
      <c r="J17" s="99" t="n">
        <v>-5.607</v>
      </c>
      <c r="K17" s="99" t="n">
        <v>94.277</v>
      </c>
    </row>
    <row r="18">
      <c r="B18" s="93" t="inlineStr">
        <is>
          <t>RV32IM_8SP_withoutOpt</t>
        </is>
      </c>
      <c r="C18" s="102" t="inlineStr">
        <is>
          <t>RV32IM</t>
        </is>
      </c>
      <c r="D18" s="94" t="n">
        <v>3240</v>
      </c>
      <c r="E18" s="94" t="n">
        <v>3192</v>
      </c>
      <c r="F18" s="94" t="n">
        <v>48</v>
      </c>
      <c r="G18" s="94" t="n">
        <v>2549</v>
      </c>
      <c r="H18" s="94" t="n">
        <v>0</v>
      </c>
      <c r="I18" s="94" t="n">
        <v>4</v>
      </c>
      <c r="J18" s="99" t="n">
        <v>-5.126</v>
      </c>
      <c r="K18" s="99" t="n">
        <v>98.756</v>
      </c>
    </row>
    <row r="19">
      <c r="B19" s="93" t="inlineStr">
        <is>
          <t>RV32IM_8SP</t>
        </is>
      </c>
      <c r="C19" s="102" t="inlineStr">
        <is>
          <t>RV32IM</t>
        </is>
      </c>
      <c r="D19" s="94" t="n">
        <v>2878</v>
      </c>
      <c r="E19" s="94" t="n">
        <v>2830</v>
      </c>
      <c r="F19" s="94" t="n">
        <v>48</v>
      </c>
      <c r="G19" s="94" t="n">
        <v>2278</v>
      </c>
      <c r="H19" s="94" t="n">
        <v>0</v>
      </c>
      <c r="I19" s="94" t="n">
        <v>4</v>
      </c>
      <c r="J19" s="99" t="n">
        <v>-4.507</v>
      </c>
      <c r="K19" s="99" t="n">
        <v>105.186</v>
      </c>
    </row>
    <row r="20">
      <c r="B20" s="93" t="inlineStr">
        <is>
          <t>RV64I_5SP</t>
        </is>
      </c>
      <c r="C20" s="102" t="inlineStr">
        <is>
          <t>RV64I</t>
        </is>
      </c>
      <c r="D20" s="94" t="n">
        <v>5645</v>
      </c>
      <c r="E20" s="94" t="n">
        <v>5557</v>
      </c>
      <c r="F20" s="94" t="n">
        <v>88</v>
      </c>
      <c r="G20" s="94" t="n">
        <v>2332</v>
      </c>
      <c r="H20" s="94" t="n">
        <v>0</v>
      </c>
      <c r="I20" s="94" t="n">
        <v>0</v>
      </c>
      <c r="J20" s="99" t="n">
        <v>-14.502</v>
      </c>
      <c r="K20" s="99" t="n">
        <v>51.277</v>
      </c>
    </row>
    <row r="21">
      <c r="B21" s="93" t="inlineStr">
        <is>
          <t>RV64IM_5SP</t>
        </is>
      </c>
      <c r="C21" s="102" t="inlineStr">
        <is>
          <t>RV64IM</t>
        </is>
      </c>
      <c r="D21" s="94" t="n">
        <v>8292</v>
      </c>
      <c r="E21" s="94" t="n">
        <v>8204</v>
      </c>
      <c r="F21" s="94" t="n">
        <v>88</v>
      </c>
      <c r="G21" s="94" t="n">
        <v>3552</v>
      </c>
      <c r="H21" s="94" t="n">
        <v>0</v>
      </c>
      <c r="I21" s="94" t="n">
        <v>20</v>
      </c>
      <c r="J21" s="99" t="n">
        <v>-14.547</v>
      </c>
      <c r="K21" s="99" t="n">
        <v>51.159</v>
      </c>
    </row>
    <row r="22">
      <c r="B22" s="93" t="inlineStr">
        <is>
          <t>RV64IM_6SP</t>
        </is>
      </c>
      <c r="C22" s="102" t="inlineStr">
        <is>
          <t>RV64IM</t>
        </is>
      </c>
      <c r="D22" s="94" t="n">
        <v>8600</v>
      </c>
      <c r="E22" s="94" t="n">
        <v>8512</v>
      </c>
      <c r="F22" s="94" t="n">
        <v>88</v>
      </c>
      <c r="G22" s="94" t="n">
        <v>3947</v>
      </c>
      <c r="H22" s="94" t="n">
        <v>0</v>
      </c>
      <c r="I22" s="94" t="n">
        <v>20</v>
      </c>
      <c r="J22" s="99" t="n">
        <v>-10.471</v>
      </c>
      <c r="K22" s="99" t="n">
        <v>64.637</v>
      </c>
    </row>
    <row r="23">
      <c r="B23" s="93" t="inlineStr">
        <is>
          <t>RV64IM_7SP</t>
        </is>
      </c>
      <c r="C23" s="102" t="inlineStr">
        <is>
          <t>RV64IM</t>
        </is>
      </c>
      <c r="D23" s="94" t="n">
        <v>7448</v>
      </c>
      <c r="E23" s="94" t="n">
        <v>7360</v>
      </c>
      <c r="F23" s="94" t="n">
        <v>88</v>
      </c>
      <c r="G23" s="94" t="n">
        <v>4173</v>
      </c>
      <c r="H23" s="94" t="n">
        <v>0</v>
      </c>
      <c r="I23" s="94" t="n">
        <v>20</v>
      </c>
      <c r="J23" s="99" t="n">
        <v>-10.471</v>
      </c>
      <c r="K23" s="99" t="n">
        <v>64.637</v>
      </c>
    </row>
    <row r="24">
      <c r="B24" s="93" t="inlineStr">
        <is>
          <t>RV64IM_7SP_BRAM</t>
        </is>
      </c>
      <c r="C24" s="102" t="inlineStr">
        <is>
          <t>RV64IM</t>
        </is>
      </c>
      <c r="D24" s="94" t="n">
        <v>7520</v>
      </c>
      <c r="E24" s="94" t="n">
        <v>7432</v>
      </c>
      <c r="F24" s="94" t="n">
        <v>88</v>
      </c>
      <c r="G24" s="94" t="n">
        <v>4173</v>
      </c>
      <c r="H24" s="94" t="n">
        <v>0</v>
      </c>
      <c r="I24" s="94" t="n">
        <v>20</v>
      </c>
      <c r="J24" s="99" t="n">
        <v>-10.471</v>
      </c>
      <c r="K24" s="99" t="n">
        <v>64.637</v>
      </c>
    </row>
    <row r="25">
      <c r="B25" s="93" t="inlineStr">
        <is>
          <t>RV64IM_7SP_BRAM_Opt</t>
        </is>
      </c>
      <c r="C25" s="102" t="inlineStr">
        <is>
          <t>RV64IM</t>
        </is>
      </c>
      <c r="D25" s="94" t="n">
        <v>6509</v>
      </c>
      <c r="E25" s="94" t="n">
        <v>6421</v>
      </c>
      <c r="F25" s="94" t="n">
        <v>88</v>
      </c>
      <c r="G25" s="94" t="n">
        <v>3684</v>
      </c>
      <c r="H25" s="94" t="n">
        <v>0</v>
      </c>
      <c r="I25" s="94" t="n">
        <v>20</v>
      </c>
      <c r="J25" s="99" t="n">
        <v>-5.911</v>
      </c>
      <c r="K25" s="99" t="n">
        <v>91.651</v>
      </c>
    </row>
    <row r="26">
      <c r="B26" s="93" t="inlineStr">
        <is>
          <t>RV64IM_8SP_withoutOpt</t>
        </is>
      </c>
      <c r="C26" s="102" t="inlineStr">
        <is>
          <t>RV64IM</t>
        </is>
      </c>
      <c r="D26" s="94" t="n">
        <v>7868</v>
      </c>
      <c r="E26" s="94" t="n">
        <v>7780</v>
      </c>
      <c r="F26" s="94" t="n">
        <v>88</v>
      </c>
      <c r="G26" s="94" t="n">
        <v>4974</v>
      </c>
      <c r="H26" s="94" t="n">
        <v>0</v>
      </c>
      <c r="I26" s="94" t="n">
        <v>20</v>
      </c>
      <c r="J26" s="99" t="n">
        <v>-6.112</v>
      </c>
      <c r="K26" s="99" t="n">
        <v>89.99299999999999</v>
      </c>
    </row>
    <row r="27">
      <c r="B27" s="93" t="inlineStr">
        <is>
          <t>RV64IM_8SP</t>
        </is>
      </c>
      <c r="C27" s="102" t="inlineStr">
        <is>
          <t>RV64IM</t>
        </is>
      </c>
      <c r="D27" s="94" t="n">
        <v>6981</v>
      </c>
      <c r="E27" s="94" t="n">
        <v>6893</v>
      </c>
      <c r="F27" s="94" t="n">
        <v>88</v>
      </c>
      <c r="G27" s="94" t="n">
        <v>4489</v>
      </c>
      <c r="H27" s="94" t="n">
        <v>0</v>
      </c>
      <c r="I27" s="94" t="n">
        <v>20</v>
      </c>
      <c r="J27" s="99" t="n">
        <v>-4.934</v>
      </c>
      <c r="K27" s="99" t="n">
        <v>100.664</v>
      </c>
    </row>
    <row r="29">
      <c r="B29" s="102" t="inlineStr">
        <is>
          <t>Frequency alone favours all three external cores and is misleading in isolation: PicoRV32 is multi-cycle at a CPI near 4, so 182 MHz is not 182 MHz of work.  Pair with the CPI sheet.</t>
        </is>
      </c>
    </row>
  </sheetData>
  <mergeCells count="1">
    <mergeCell ref="B3:K3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B2:N39"/>
  <sheetViews>
    <sheetView workbookViewId="0">
      <selection activeCell="A1" sqref="A1"/>
    </sheetView>
  </sheetViews>
  <sheetFormatPr baseColWidth="8" defaultRowHeight="15"/>
  <cols>
    <col width="3" customWidth="1" min="1" max="1"/>
    <col width="24" customWidth="1" min="2" max="2"/>
    <col width="11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</cols>
  <sheetData>
    <row r="2">
      <c r="B2" s="91" t="inlineStr">
        <is>
          <t>Activity-based (SAIF) power, per component, all 32 SoC builds</t>
        </is>
      </c>
    </row>
    <row r="3" ht="30" customHeight="1">
      <c r="B3" s="104" t="inlineStr">
        <is>
          <t>Measured switching activity from post-implementation netlist simulation, not Vivado's assumed toggle rates.  Vivado prints '&lt;0.001' for sub-milliwatt components; shown here as 0.000 and flagged in the last column.</t>
        </is>
      </c>
      <c r="C3" s="105" t="n"/>
      <c r="D3" s="105" t="n"/>
      <c r="E3" s="105" t="n"/>
      <c r="F3" s="105" t="n"/>
      <c r="G3" s="105" t="n"/>
      <c r="H3" s="105" t="n"/>
      <c r="I3" s="105" t="n"/>
      <c r="J3" s="105" t="n"/>
      <c r="K3" s="105" t="n"/>
      <c r="L3" s="105" t="n"/>
      <c r="M3" s="106" t="n"/>
    </row>
    <row r="5">
      <c r="B5" s="91" t="inlineStr">
        <is>
          <t>dhrystone</t>
        </is>
      </c>
      <c r="C5" s="92" t="inlineStr">
        <is>
          <t>total W</t>
        </is>
      </c>
      <c r="D5" s="92" t="inlineStr">
        <is>
          <t>dynamic</t>
        </is>
      </c>
      <c r="E5" s="92" t="inlineStr">
        <is>
          <t>clocks</t>
        </is>
      </c>
      <c r="F5" s="92" t="inlineStr">
        <is>
          <t>signals</t>
        </is>
      </c>
      <c r="G5" s="92" t="inlineStr">
        <is>
          <t>logic</t>
        </is>
      </c>
      <c r="H5" s="92" t="inlineStr">
        <is>
          <t>BRAM</t>
        </is>
      </c>
      <c r="I5" s="92" t="inlineStr">
        <is>
          <t>DSP</t>
        </is>
      </c>
      <c r="J5" s="92" t="inlineStr">
        <is>
          <t>PLL</t>
        </is>
      </c>
      <c r="K5" s="92" t="inlineStr">
        <is>
          <t>I/O</t>
        </is>
      </c>
      <c r="L5" s="92" t="inlineStr">
        <is>
          <t>static</t>
        </is>
      </c>
      <c r="M5" s="92" t="inlineStr">
        <is>
          <t>toggling</t>
        </is>
      </c>
      <c r="N5" s="92" t="inlineStr">
        <is>
          <t>&lt;1mW</t>
        </is>
      </c>
    </row>
    <row r="6">
      <c r="B6" s="93" t="inlineStr">
        <is>
          <t>RV32I_5SP</t>
        </is>
      </c>
      <c r="C6" s="99" t="n">
        <v>0.376</v>
      </c>
      <c r="D6" s="99" t="n">
        <v>0.223</v>
      </c>
      <c r="E6" s="99" t="n">
        <v>0.012</v>
      </c>
      <c r="F6" s="99" t="n">
        <v>0.078</v>
      </c>
      <c r="G6" s="99" t="n">
        <v>0.028</v>
      </c>
      <c r="H6" s="99" t="n">
        <v>0</v>
      </c>
      <c r="I6" s="99" t="n">
        <v>0</v>
      </c>
      <c r="J6" s="99" t="n">
        <v>0.103</v>
      </c>
      <c r="K6" s="99" t="n">
        <v>0.002</v>
      </c>
      <c r="L6" s="99" t="n">
        <v>0.152</v>
      </c>
      <c r="M6" s="100" t="n">
        <v>0.7468</v>
      </c>
      <c r="N6" s="102" t="n"/>
    </row>
    <row r="7">
      <c r="B7" s="93" t="inlineStr">
        <is>
          <t>RV32IM_5SP</t>
        </is>
      </c>
      <c r="C7" s="99" t="n">
        <v>0.366</v>
      </c>
      <c r="D7" s="99" t="n">
        <v>0.215</v>
      </c>
      <c r="E7" s="99" t="n">
        <v>0.01</v>
      </c>
      <c r="F7" s="99" t="n">
        <v>0.064</v>
      </c>
      <c r="G7" s="99" t="n">
        <v>0.039</v>
      </c>
      <c r="H7" s="99" t="n">
        <v>0</v>
      </c>
      <c r="I7" s="99" t="n">
        <v>0</v>
      </c>
      <c r="J7" s="99" t="n">
        <v>0.1</v>
      </c>
      <c r="K7" s="99" t="n">
        <v>0.002</v>
      </c>
      <c r="L7" s="99" t="n">
        <v>0.152</v>
      </c>
      <c r="M7" s="100" t="n">
        <v>0.72</v>
      </c>
      <c r="N7" s="102" t="n"/>
    </row>
    <row r="8">
      <c r="B8" s="93" t="inlineStr">
        <is>
          <t>RV32IM_6SP</t>
        </is>
      </c>
      <c r="C8" s="99" t="n">
        <v>0.386</v>
      </c>
      <c r="D8" s="99" t="n">
        <v>0.233</v>
      </c>
      <c r="E8" s="99" t="n">
        <v>0.012</v>
      </c>
      <c r="F8" s="99" t="n">
        <v>0.073</v>
      </c>
      <c r="G8" s="99" t="n">
        <v>0.047</v>
      </c>
      <c r="H8" s="99" t="n">
        <v>0</v>
      </c>
      <c r="I8" s="99" t="n">
        <v>0</v>
      </c>
      <c r="J8" s="99" t="n">
        <v>0.099</v>
      </c>
      <c r="K8" s="99" t="n">
        <v>0.002</v>
      </c>
      <c r="L8" s="99" t="n">
        <v>0.152</v>
      </c>
      <c r="M8" s="100" t="n">
        <v>0.7211</v>
      </c>
      <c r="N8" s="102" t="n"/>
    </row>
    <row r="9">
      <c r="B9" s="93" t="inlineStr">
        <is>
          <t>RV32IM_7SP</t>
        </is>
      </c>
      <c r="C9" s="99" t="n">
        <v>0.358</v>
      </c>
      <c r="D9" s="99" t="n">
        <v>0.206</v>
      </c>
      <c r="E9" s="99" t="n">
        <v>0.012</v>
      </c>
      <c r="F9" s="99" t="n">
        <v>0.053</v>
      </c>
      <c r="G9" s="99" t="n">
        <v>0.027</v>
      </c>
      <c r="H9" s="99" t="n">
        <v>0</v>
      </c>
      <c r="I9" s="99" t="n">
        <v>0</v>
      </c>
      <c r="J9" s="99" t="n">
        <v>0.112</v>
      </c>
      <c r="K9" s="99" t="n">
        <v>0.002</v>
      </c>
      <c r="L9" s="99" t="n">
        <v>0.152</v>
      </c>
      <c r="M9" s="100" t="n">
        <v>0.7101000000000001</v>
      </c>
      <c r="N9" s="102" t="n"/>
    </row>
    <row r="10">
      <c r="B10" s="93" t="inlineStr">
        <is>
          <t>RV32IM_7SP_BRAM</t>
        </is>
      </c>
      <c r="C10" s="99" t="n">
        <v>0.332</v>
      </c>
      <c r="D10" s="99" t="n">
        <v>0.179</v>
      </c>
      <c r="E10" s="99" t="n">
        <v>0.011</v>
      </c>
      <c r="F10" s="99" t="n">
        <v>0.017</v>
      </c>
      <c r="G10" s="99" t="n">
        <v>0.007</v>
      </c>
      <c r="H10" s="99" t="n">
        <v>0.029</v>
      </c>
      <c r="I10" s="99" t="n">
        <v>0</v>
      </c>
      <c r="J10" s="99" t="n">
        <v>0.113</v>
      </c>
      <c r="K10" s="99" t="n">
        <v>0.002</v>
      </c>
      <c r="L10" s="99" t="n">
        <v>0.153</v>
      </c>
      <c r="M10" s="100" t="n">
        <v>0.6045</v>
      </c>
      <c r="N10" s="102" t="n"/>
    </row>
    <row r="11">
      <c r="B11" s="93" t="inlineStr">
        <is>
          <t>RV32IM_7SP_BRAM_Opt</t>
        </is>
      </c>
      <c r="C11" s="99" t="n">
        <v>0.345</v>
      </c>
      <c r="D11" s="99" t="n">
        <v>0.192</v>
      </c>
      <c r="E11" s="99" t="n">
        <v>0.011</v>
      </c>
      <c r="F11" s="99" t="n">
        <v>0.018</v>
      </c>
      <c r="G11" s="99" t="n">
        <v>0.008</v>
      </c>
      <c r="H11" s="99" t="n">
        <v>0.049</v>
      </c>
      <c r="I11" s="99" t="n">
        <v>0</v>
      </c>
      <c r="J11" s="99" t="n">
        <v>0.103</v>
      </c>
      <c r="K11" s="99" t="n">
        <v>0.003</v>
      </c>
      <c r="L11" s="99" t="n">
        <v>0.153</v>
      </c>
      <c r="M11" s="100" t="n">
        <v>0.5982999999999999</v>
      </c>
      <c r="N11" s="102" t="n"/>
    </row>
    <row r="12">
      <c r="B12" s="93" t="inlineStr">
        <is>
          <t>RV32IM_8SP_withoutOpt</t>
        </is>
      </c>
      <c r="C12" s="99" t="n">
        <v>0.37</v>
      </c>
      <c r="D12" s="99" t="n">
        <v>0.217</v>
      </c>
      <c r="E12" s="99" t="n">
        <v>0.014</v>
      </c>
      <c r="F12" s="99" t="n">
        <v>0.026</v>
      </c>
      <c r="G12" s="99" t="n">
        <v>0.012</v>
      </c>
      <c r="H12" s="99" t="n">
        <v>0.045</v>
      </c>
      <c r="I12" s="99" t="n">
        <v>0</v>
      </c>
      <c r="J12" s="99" t="n">
        <v>0.117</v>
      </c>
      <c r="K12" s="99" t="n">
        <v>0.003</v>
      </c>
      <c r="L12" s="99" t="n">
        <v>0.153</v>
      </c>
      <c r="M12" s="100" t="n">
        <v>0.6004999999999999</v>
      </c>
      <c r="N12" s="102" t="n"/>
    </row>
    <row r="13">
      <c r="B13" s="93" t="inlineStr">
        <is>
          <t>RV32IM_8SP</t>
        </is>
      </c>
      <c r="C13" s="99" t="n">
        <v>0.359</v>
      </c>
      <c r="D13" s="99" t="n">
        <v>0.222</v>
      </c>
      <c r="E13" s="99" t="n">
        <v>0.015</v>
      </c>
      <c r="F13" s="99" t="n">
        <v>0.023</v>
      </c>
      <c r="G13" s="99" t="n">
        <v>0.011</v>
      </c>
      <c r="H13" s="99" t="n">
        <v>0.048</v>
      </c>
      <c r="I13" s="99" t="n">
        <v>0</v>
      </c>
      <c r="J13" s="99" t="n">
        <v>0.122</v>
      </c>
      <c r="K13" s="99" t="n">
        <v>0.003</v>
      </c>
      <c r="L13" s="99" t="n">
        <v>0.136</v>
      </c>
      <c r="M13" s="100" t="n">
        <v>0.6076</v>
      </c>
      <c r="N13" s="102" t="n"/>
    </row>
    <row r="14">
      <c r="B14" s="93" t="inlineStr">
        <is>
          <t>RV64I_5SP</t>
        </is>
      </c>
      <c r="C14" s="99" t="n">
        <v>0.404</v>
      </c>
      <c r="D14" s="99" t="n">
        <v>0.252</v>
      </c>
      <c r="E14" s="99" t="n">
        <v>0.017</v>
      </c>
      <c r="F14" s="99" t="n">
        <v>0.095</v>
      </c>
      <c r="G14" s="99" t="n">
        <v>0.031</v>
      </c>
      <c r="H14" s="99" t="n">
        <v>0</v>
      </c>
      <c r="I14" s="99" t="n">
        <v>0</v>
      </c>
      <c r="J14" s="99" t="n">
        <v>0.107</v>
      </c>
      <c r="K14" s="99" t="n">
        <v>0.002</v>
      </c>
      <c r="L14" s="99" t="n">
        <v>0.152</v>
      </c>
      <c r="M14" s="100" t="n">
        <v>0.7195999999999999</v>
      </c>
      <c r="N14" s="102" t="n"/>
    </row>
    <row r="15">
      <c r="B15" s="93" t="inlineStr">
        <is>
          <t>RV64IM_5SP</t>
        </is>
      </c>
      <c r="C15" s="99" t="n">
        <v>0.366</v>
      </c>
      <c r="D15" s="99" t="n">
        <v>0.214</v>
      </c>
      <c r="E15" s="99" t="n">
        <v>0.012</v>
      </c>
      <c r="F15" s="99" t="n">
        <v>0.07000000000000001</v>
      </c>
      <c r="G15" s="99" t="n">
        <v>0.026</v>
      </c>
      <c r="H15" s="99" t="n">
        <v>0</v>
      </c>
      <c r="I15" s="99" t="n">
        <v>0</v>
      </c>
      <c r="J15" s="99" t="n">
        <v>0.104</v>
      </c>
      <c r="K15" s="99" t="n">
        <v>0.002</v>
      </c>
      <c r="L15" s="99" t="n">
        <v>0.152</v>
      </c>
      <c r="M15" s="100" t="n">
        <v>0.6351</v>
      </c>
      <c r="N15" s="102" t="n"/>
    </row>
    <row r="16">
      <c r="B16" s="93" t="inlineStr">
        <is>
          <t>RV64IM_6SP</t>
        </is>
      </c>
      <c r="C16" s="99" t="n">
        <v>0.394</v>
      </c>
      <c r="D16" s="99" t="n">
        <v>0.242</v>
      </c>
      <c r="E16" s="99" t="n">
        <v>0.017</v>
      </c>
      <c r="F16" s="99" t="n">
        <v>0.089</v>
      </c>
      <c r="G16" s="99" t="n">
        <v>0.033</v>
      </c>
      <c r="H16" s="99" t="n">
        <v>0</v>
      </c>
      <c r="I16" s="99" t="n">
        <v>0</v>
      </c>
      <c r="J16" s="99" t="n">
        <v>0.101</v>
      </c>
      <c r="K16" s="99" t="n">
        <v>0.002</v>
      </c>
      <c r="L16" s="99" t="n">
        <v>0.152</v>
      </c>
      <c r="M16" s="100" t="n">
        <v>0.64</v>
      </c>
      <c r="N16" s="102" t="n"/>
    </row>
    <row r="17">
      <c r="B17" s="93" t="inlineStr">
        <is>
          <t>RV64IM_7SP</t>
        </is>
      </c>
      <c r="C17" s="99" t="n">
        <v>0.428</v>
      </c>
      <c r="D17" s="99" t="n">
        <v>0.277</v>
      </c>
      <c r="E17" s="99" t="n">
        <v>0.019</v>
      </c>
      <c r="F17" s="99" t="n">
        <v>0.092</v>
      </c>
      <c r="G17" s="99" t="n">
        <v>0.052</v>
      </c>
      <c r="H17" s="99" t="n">
        <v>0.007</v>
      </c>
      <c r="I17" s="99" t="n">
        <v>0</v>
      </c>
      <c r="J17" s="99" t="n">
        <v>0.105</v>
      </c>
      <c r="K17" s="99" t="n">
        <v>0.002</v>
      </c>
      <c r="L17" s="99" t="n">
        <v>0.153</v>
      </c>
      <c r="M17" s="100" t="n">
        <v>0.6344</v>
      </c>
      <c r="N17" s="102" t="n"/>
    </row>
    <row r="18">
      <c r="B18" s="93" t="inlineStr">
        <is>
          <t>RV64IM_7SP_BRAM</t>
        </is>
      </c>
      <c r="C18" s="99" t="n">
        <v>0.397</v>
      </c>
      <c r="D18" s="99" t="n">
        <v>0.244</v>
      </c>
      <c r="E18" s="99" t="n">
        <v>0.014</v>
      </c>
      <c r="F18" s="99" t="n">
        <v>0.055</v>
      </c>
      <c r="G18" s="99" t="n">
        <v>0.052</v>
      </c>
      <c r="H18" s="99" t="n">
        <v>0.023</v>
      </c>
      <c r="I18" s="99" t="n">
        <v>0</v>
      </c>
      <c r="J18" s="99" t="n">
        <v>0.098</v>
      </c>
      <c r="K18" s="99" t="n">
        <v>0.002</v>
      </c>
      <c r="L18" s="99" t="n">
        <v>0.153</v>
      </c>
      <c r="M18" s="100" t="n">
        <v>0.5201</v>
      </c>
      <c r="N18" s="102" t="n"/>
    </row>
    <row r="19">
      <c r="B19" s="93" t="inlineStr">
        <is>
          <t>RV64IM_7SP_BRAM_Opt</t>
        </is>
      </c>
      <c r="C19" s="99" t="n">
        <v>0.372</v>
      </c>
      <c r="D19" s="99" t="n">
        <v>0.219</v>
      </c>
      <c r="E19" s="99" t="n">
        <v>0.021</v>
      </c>
      <c r="F19" s="99" t="n">
        <v>0.032</v>
      </c>
      <c r="G19" s="99" t="n">
        <v>0.019</v>
      </c>
      <c r="H19" s="99" t="n">
        <v>0.026</v>
      </c>
      <c r="I19" s="99" t="n">
        <v>0</v>
      </c>
      <c r="J19" s="99" t="n">
        <v>0.117</v>
      </c>
      <c r="K19" s="99" t="n">
        <v>0.004</v>
      </c>
      <c r="L19" s="99" t="n">
        <v>0.153</v>
      </c>
      <c r="M19" s="100" t="n">
        <v>0.3991</v>
      </c>
      <c r="N19" s="102" t="n"/>
    </row>
    <row r="20">
      <c r="B20" s="93" t="inlineStr">
        <is>
          <t>RV64IM_8SP_withoutOpt</t>
        </is>
      </c>
      <c r="C20" s="99" t="n">
        <v>0.41</v>
      </c>
      <c r="D20" s="99" t="n">
        <v>0.258</v>
      </c>
      <c r="E20" s="99" t="n">
        <v>0.021</v>
      </c>
      <c r="F20" s="99" t="n">
        <v>0.056</v>
      </c>
      <c r="G20" s="99" t="n">
        <v>0.034</v>
      </c>
      <c r="H20" s="99" t="n">
        <v>0.038</v>
      </c>
      <c r="I20" s="99" t="n">
        <v>0</v>
      </c>
      <c r="J20" s="99" t="n">
        <v>0.106</v>
      </c>
      <c r="K20" s="99" t="n">
        <v>0.003</v>
      </c>
      <c r="L20" s="99" t="n">
        <v>0.153</v>
      </c>
      <c r="M20" s="100" t="n">
        <v>0.5225</v>
      </c>
      <c r="N20" s="102" t="n"/>
    </row>
    <row r="21">
      <c r="B21" s="93" t="inlineStr">
        <is>
          <t>RV64IM_8SP</t>
        </is>
      </c>
      <c r="C21" s="99" t="n">
        <v>0.426</v>
      </c>
      <c r="D21" s="99" t="n">
        <v>0.273</v>
      </c>
      <c r="E21" s="99" t="n">
        <v>0.022</v>
      </c>
      <c r="F21" s="99" t="n">
        <v>0.056</v>
      </c>
      <c r="G21" s="99" t="n">
        <v>0.042</v>
      </c>
      <c r="H21" s="99" t="n">
        <v>0.04</v>
      </c>
      <c r="I21" s="99" t="n">
        <v>0</v>
      </c>
      <c r="J21" s="99" t="n">
        <v>0.11</v>
      </c>
      <c r="K21" s="99" t="n">
        <v>0.003</v>
      </c>
      <c r="L21" s="99" t="n">
        <v>0.153</v>
      </c>
      <c r="M21" s="100" t="n">
        <v>0.5390999999999999</v>
      </c>
      <c r="N21" s="102" t="n"/>
    </row>
    <row r="23">
      <c r="B23" s="91" t="inlineStr">
        <is>
          <t>coremark</t>
        </is>
      </c>
      <c r="C23" s="92" t="inlineStr">
        <is>
          <t>total W</t>
        </is>
      </c>
      <c r="D23" s="92" t="inlineStr">
        <is>
          <t>dynamic</t>
        </is>
      </c>
      <c r="E23" s="92" t="inlineStr">
        <is>
          <t>clocks</t>
        </is>
      </c>
      <c r="F23" s="92" t="inlineStr">
        <is>
          <t>signals</t>
        </is>
      </c>
      <c r="G23" s="92" t="inlineStr">
        <is>
          <t>logic</t>
        </is>
      </c>
      <c r="H23" s="92" t="inlineStr">
        <is>
          <t>BRAM</t>
        </is>
      </c>
      <c r="I23" s="92" t="inlineStr">
        <is>
          <t>DSP</t>
        </is>
      </c>
      <c r="J23" s="92" t="inlineStr">
        <is>
          <t>PLL</t>
        </is>
      </c>
      <c r="K23" s="92" t="inlineStr">
        <is>
          <t>I/O</t>
        </is>
      </c>
      <c r="L23" s="92" t="inlineStr">
        <is>
          <t>static</t>
        </is>
      </c>
      <c r="M23" s="92" t="inlineStr">
        <is>
          <t>toggling</t>
        </is>
      </c>
      <c r="N23" s="92" t="inlineStr">
        <is>
          <t>&lt;1mW</t>
        </is>
      </c>
    </row>
    <row r="24">
      <c r="B24" s="93" t="inlineStr">
        <is>
          <t>RV32I_5SP</t>
        </is>
      </c>
      <c r="C24" s="99" t="n">
        <v>0.385</v>
      </c>
      <c r="D24" s="99" t="n">
        <v>0.233</v>
      </c>
      <c r="E24" s="99" t="n">
        <v>0.012</v>
      </c>
      <c r="F24" s="99" t="n">
        <v>0.076</v>
      </c>
      <c r="G24" s="99" t="n">
        <v>0.039</v>
      </c>
      <c r="H24" s="99" t="n">
        <v>0</v>
      </c>
      <c r="I24" s="99" t="n">
        <v>0</v>
      </c>
      <c r="J24" s="99" t="n">
        <v>0.103</v>
      </c>
      <c r="K24" s="99" t="n">
        <v>0.003</v>
      </c>
      <c r="L24" s="99" t="n">
        <v>0.152</v>
      </c>
      <c r="M24" s="100" t="n">
        <v>0.7301000000000001</v>
      </c>
      <c r="N24" s="102" t="n"/>
    </row>
    <row r="25">
      <c r="B25" s="93" t="inlineStr">
        <is>
          <t>RV32IM_5SP</t>
        </is>
      </c>
      <c r="C25" s="99" t="n">
        <v>0.372</v>
      </c>
      <c r="D25" s="99" t="n">
        <v>0.22</v>
      </c>
      <c r="E25" s="99" t="n">
        <v>0.01</v>
      </c>
      <c r="F25" s="99" t="n">
        <v>0.064</v>
      </c>
      <c r="G25" s="99" t="n">
        <v>0.044</v>
      </c>
      <c r="H25" s="99" t="n">
        <v>0</v>
      </c>
      <c r="I25" s="99" t="n">
        <v>0</v>
      </c>
      <c r="J25" s="99" t="n">
        <v>0.1</v>
      </c>
      <c r="K25" s="99" t="n">
        <v>0.002</v>
      </c>
      <c r="L25" s="99" t="n">
        <v>0.152</v>
      </c>
      <c r="M25" s="100" t="n">
        <v>0.7031000000000001</v>
      </c>
      <c r="N25" s="102" t="n"/>
    </row>
    <row r="26">
      <c r="B26" s="93" t="inlineStr">
        <is>
          <t>RV32IM_6SP</t>
        </is>
      </c>
      <c r="C26" s="99" t="n">
        <v>0.389</v>
      </c>
      <c r="D26" s="99" t="n">
        <v>0.237</v>
      </c>
      <c r="E26" s="99" t="n">
        <v>0.012</v>
      </c>
      <c r="F26" s="99" t="n">
        <v>0.07199999999999999</v>
      </c>
      <c r="G26" s="99" t="n">
        <v>0.051</v>
      </c>
      <c r="H26" s="99" t="n">
        <v>0</v>
      </c>
      <c r="I26" s="99" t="n">
        <v>0</v>
      </c>
      <c r="J26" s="99" t="n">
        <v>0.099</v>
      </c>
      <c r="K26" s="99" t="n">
        <v>0.003</v>
      </c>
      <c r="L26" s="99" t="n">
        <v>0.152</v>
      </c>
      <c r="M26" s="100" t="n">
        <v>0.7016</v>
      </c>
      <c r="N26" s="102" t="n"/>
    </row>
    <row r="27">
      <c r="B27" s="93" t="inlineStr">
        <is>
          <t>RV32IM_7SP</t>
        </is>
      </c>
      <c r="C27" s="99" t="n">
        <v>0.371</v>
      </c>
      <c r="D27" s="99" t="n">
        <v>0.22</v>
      </c>
      <c r="E27" s="99" t="n">
        <v>0.012</v>
      </c>
      <c r="F27" s="99" t="n">
        <v>0.059</v>
      </c>
      <c r="G27" s="99" t="n">
        <v>0.034</v>
      </c>
      <c r="H27" s="99" t="n">
        <v>0</v>
      </c>
      <c r="I27" s="99" t="n">
        <v>0</v>
      </c>
      <c r="J27" s="99" t="n">
        <v>0.112</v>
      </c>
      <c r="K27" s="99" t="n">
        <v>0.003</v>
      </c>
      <c r="L27" s="99" t="n">
        <v>0.152</v>
      </c>
      <c r="M27" s="100" t="n">
        <v>0.6617000000000001</v>
      </c>
      <c r="N27" s="102" t="n"/>
    </row>
    <row r="28">
      <c r="B28" s="93" t="inlineStr">
        <is>
          <t>RV32IM_7SP_BRAM</t>
        </is>
      </c>
      <c r="C28" s="99" t="n">
        <v>0.335</v>
      </c>
      <c r="D28" s="99" t="n">
        <v>0.182</v>
      </c>
      <c r="E28" s="99" t="n">
        <v>0.011</v>
      </c>
      <c r="F28" s="99" t="n">
        <v>0.017</v>
      </c>
      <c r="G28" s="99" t="n">
        <v>0.007</v>
      </c>
      <c r="H28" s="99" t="n">
        <v>0.031</v>
      </c>
      <c r="I28" s="99" t="n">
        <v>0</v>
      </c>
      <c r="J28" s="99" t="n">
        <v>0.113</v>
      </c>
      <c r="K28" s="99" t="n">
        <v>0.003</v>
      </c>
      <c r="L28" s="99" t="n">
        <v>0.153</v>
      </c>
      <c r="M28" s="100" t="n">
        <v>0.5006</v>
      </c>
      <c r="N28" s="102" t="n"/>
    </row>
    <row r="29">
      <c r="B29" s="93" t="inlineStr">
        <is>
          <t>RV32IM_7SP_BRAM_Opt</t>
        </is>
      </c>
      <c r="C29" s="99" t="n">
        <v>0.323</v>
      </c>
      <c r="D29" s="99" t="n">
        <v>0.171</v>
      </c>
      <c r="E29" s="99" t="n">
        <v>0.01</v>
      </c>
      <c r="F29" s="99" t="n">
        <v>0.017</v>
      </c>
      <c r="G29" s="99" t="n">
        <v>0.008999999999999999</v>
      </c>
      <c r="H29" s="99" t="n">
        <v>0.03</v>
      </c>
      <c r="I29" s="99" t="n">
        <v>0</v>
      </c>
      <c r="J29" s="99" t="n">
        <v>0.103</v>
      </c>
      <c r="K29" s="99" t="n">
        <v>0.002</v>
      </c>
      <c r="L29" s="99" t="n">
        <v>0.152</v>
      </c>
      <c r="M29" s="100" t="n">
        <v>0.6235000000000001</v>
      </c>
      <c r="N29" s="102" t="inlineStr">
        <is>
          <t>DSPs</t>
        </is>
      </c>
    </row>
    <row r="30">
      <c r="B30" s="93" t="inlineStr">
        <is>
          <t>RV32IM_8SP_withoutOpt</t>
        </is>
      </c>
      <c r="C30" s="99" t="n">
        <v>0.358</v>
      </c>
      <c r="D30" s="99" t="n">
        <v>0.205</v>
      </c>
      <c r="E30" s="99" t="n">
        <v>0.013</v>
      </c>
      <c r="F30" s="99" t="n">
        <v>0.024</v>
      </c>
      <c r="G30" s="99" t="n">
        <v>0.011</v>
      </c>
      <c r="H30" s="99" t="n">
        <v>0.037</v>
      </c>
      <c r="I30" s="99" t="n">
        <v>0</v>
      </c>
      <c r="J30" s="99" t="n">
        <v>0.117</v>
      </c>
      <c r="K30" s="99" t="n">
        <v>0.003</v>
      </c>
      <c r="L30" s="99" t="n">
        <v>0.153</v>
      </c>
      <c r="M30" s="100" t="n">
        <v>0.6284000000000001</v>
      </c>
      <c r="N30" s="102" t="inlineStr">
        <is>
          <t>DSPs</t>
        </is>
      </c>
    </row>
    <row r="31">
      <c r="B31" s="93" t="inlineStr">
        <is>
          <t>RV32IM_8SP</t>
        </is>
      </c>
      <c r="C31" s="99" t="n">
        <v>0.34</v>
      </c>
      <c r="D31" s="99" t="n">
        <v>0.203</v>
      </c>
      <c r="E31" s="99" t="n">
        <v>0.014</v>
      </c>
      <c r="F31" s="99" t="n">
        <v>0.019</v>
      </c>
      <c r="G31" s="99" t="n">
        <v>0.008999999999999999</v>
      </c>
      <c r="H31" s="99" t="n">
        <v>0.037</v>
      </c>
      <c r="I31" s="99" t="n">
        <v>0</v>
      </c>
      <c r="J31" s="99" t="n">
        <v>0.122</v>
      </c>
      <c r="K31" s="99" t="n">
        <v>0.002</v>
      </c>
      <c r="L31" s="99" t="n">
        <v>0.136</v>
      </c>
      <c r="M31" s="100" t="n">
        <v>0.6179</v>
      </c>
      <c r="N31" s="102" t="inlineStr">
        <is>
          <t>DSPs</t>
        </is>
      </c>
    </row>
    <row r="32">
      <c r="B32" s="93" t="inlineStr">
        <is>
          <t>RV64I_5SP</t>
        </is>
      </c>
      <c r="C32" s="99" t="n">
        <v>0.422</v>
      </c>
      <c r="D32" s="99" t="n">
        <v>0.27</v>
      </c>
      <c r="E32" s="99" t="n">
        <v>0.017</v>
      </c>
      <c r="F32" s="99" t="n">
        <v>0.097</v>
      </c>
      <c r="G32" s="99" t="n">
        <v>0.047</v>
      </c>
      <c r="H32" s="99" t="n">
        <v>0</v>
      </c>
      <c r="I32" s="99" t="n">
        <v>0</v>
      </c>
      <c r="J32" s="99" t="n">
        <v>0.107</v>
      </c>
      <c r="K32" s="99" t="n">
        <v>0.002</v>
      </c>
      <c r="L32" s="99" t="n">
        <v>0.152</v>
      </c>
      <c r="M32" s="100" t="n">
        <v>0.7062</v>
      </c>
      <c r="N32" s="102" t="n"/>
    </row>
    <row r="33">
      <c r="B33" s="93" t="inlineStr">
        <is>
          <t>RV64IM_5SP</t>
        </is>
      </c>
      <c r="C33" s="99" t="n">
        <v>0.383</v>
      </c>
      <c r="D33" s="99" t="n">
        <v>0.231</v>
      </c>
      <c r="E33" s="99" t="n">
        <v>0.013</v>
      </c>
      <c r="F33" s="99" t="n">
        <v>0.076</v>
      </c>
      <c r="G33" s="99" t="n">
        <v>0.036</v>
      </c>
      <c r="H33" s="99" t="n">
        <v>0</v>
      </c>
      <c r="I33" s="99" t="n">
        <v>0</v>
      </c>
      <c r="J33" s="99" t="n">
        <v>0.104</v>
      </c>
      <c r="K33" s="99" t="n">
        <v>0.002</v>
      </c>
      <c r="L33" s="99" t="n">
        <v>0.152</v>
      </c>
      <c r="M33" s="100" t="n">
        <v>0.6772</v>
      </c>
      <c r="N33" s="102" t="n"/>
    </row>
    <row r="34">
      <c r="B34" s="93" t="inlineStr">
        <is>
          <t>RV64IM_6SP</t>
        </is>
      </c>
      <c r="C34" s="99" t="n">
        <v>0.396</v>
      </c>
      <c r="D34" s="99" t="n">
        <v>0.245</v>
      </c>
      <c r="E34" s="99" t="n">
        <v>0.017</v>
      </c>
      <c r="F34" s="99" t="n">
        <v>0.089</v>
      </c>
      <c r="G34" s="99" t="n">
        <v>0.035</v>
      </c>
      <c r="H34" s="99" t="n">
        <v>0</v>
      </c>
      <c r="I34" s="99" t="n">
        <v>0</v>
      </c>
      <c r="J34" s="99" t="n">
        <v>0.101</v>
      </c>
      <c r="K34" s="99" t="n">
        <v>0.003</v>
      </c>
      <c r="L34" s="99" t="n">
        <v>0.152</v>
      </c>
      <c r="M34" s="100" t="n">
        <v>0.6724</v>
      </c>
      <c r="N34" s="102" t="n"/>
    </row>
    <row r="35">
      <c r="B35" s="93" t="inlineStr">
        <is>
          <t>RV64IM_7SP</t>
        </is>
      </c>
      <c r="C35" s="99" t="n">
        <v>0.402</v>
      </c>
      <c r="D35" s="99" t="n">
        <v>0.25</v>
      </c>
      <c r="E35" s="99" t="n">
        <v>0.019</v>
      </c>
      <c r="F35" s="99" t="n">
        <v>0.081</v>
      </c>
      <c r="G35" s="99" t="n">
        <v>0.037</v>
      </c>
      <c r="H35" s="99" t="n">
        <v>0.006</v>
      </c>
      <c r="I35" s="99" t="n">
        <v>0</v>
      </c>
      <c r="J35" s="99" t="n">
        <v>0.105</v>
      </c>
      <c r="K35" s="99" t="n">
        <v>0.002</v>
      </c>
      <c r="L35" s="99" t="n">
        <v>0.153</v>
      </c>
      <c r="M35" s="100" t="n">
        <v>0.6285000000000001</v>
      </c>
      <c r="N35" s="102" t="n"/>
    </row>
    <row r="36">
      <c r="B36" s="93" t="inlineStr">
        <is>
          <t>RV64IM_7SP_BRAM</t>
        </is>
      </c>
      <c r="C36" s="99" t="n">
        <v>0.415</v>
      </c>
      <c r="D36" s="99" t="n">
        <v>0.261</v>
      </c>
      <c r="E36" s="99" t="n">
        <v>0.015</v>
      </c>
      <c r="F36" s="99" t="n">
        <v>0.057</v>
      </c>
      <c r="G36" s="99" t="n">
        <v>0.046</v>
      </c>
      <c r="H36" s="99" t="n">
        <v>0.023</v>
      </c>
      <c r="I36" s="99" t="n">
        <v>0</v>
      </c>
      <c r="J36" s="99" t="n">
        <v>0.118</v>
      </c>
      <c r="K36" s="99" t="n">
        <v>0.002</v>
      </c>
      <c r="L36" s="99" t="n">
        <v>0.153</v>
      </c>
      <c r="M36" s="100" t="n">
        <v>0.638</v>
      </c>
      <c r="N36" s="102" t="inlineStr">
        <is>
          <t>DSPs</t>
        </is>
      </c>
    </row>
    <row r="37">
      <c r="B37" s="93" t="inlineStr">
        <is>
          <t>RV64IM_7SP_BRAM_Opt</t>
        </is>
      </c>
      <c r="C37" s="99" t="n">
        <v>0.499</v>
      </c>
      <c r="D37" s="99" t="n">
        <v>0.345</v>
      </c>
      <c r="E37" s="99" t="n">
        <v>0.021</v>
      </c>
      <c r="F37" s="99" t="n">
        <v>0.091</v>
      </c>
      <c r="G37" s="99" t="n">
        <v>0.082</v>
      </c>
      <c r="H37" s="99" t="n">
        <v>0.035</v>
      </c>
      <c r="I37" s="99" t="n">
        <v>0</v>
      </c>
      <c r="J37" s="99" t="n">
        <v>0.113</v>
      </c>
      <c r="K37" s="99" t="n">
        <v>0.003</v>
      </c>
      <c r="L37" s="99" t="n">
        <v>0.154</v>
      </c>
      <c r="M37" s="100" t="n">
        <v>0.6258</v>
      </c>
      <c r="N37" s="102" t="inlineStr">
        <is>
          <t>DSPs</t>
        </is>
      </c>
    </row>
    <row r="38">
      <c r="B38" s="93" t="inlineStr">
        <is>
          <t>RV64IM_8SP_withoutOpt</t>
        </is>
      </c>
      <c r="C38" s="99" t="n">
        <v>0.42</v>
      </c>
      <c r="D38" s="99" t="n">
        <v>0.267</v>
      </c>
      <c r="E38" s="99" t="n">
        <v>0.022</v>
      </c>
      <c r="F38" s="99" t="n">
        <v>0.057</v>
      </c>
      <c r="G38" s="99" t="n">
        <v>0.037</v>
      </c>
      <c r="H38" s="99" t="n">
        <v>0.041</v>
      </c>
      <c r="I38" s="99" t="n">
        <v>0</v>
      </c>
      <c r="J38" s="99" t="n">
        <v>0.106</v>
      </c>
      <c r="K38" s="99" t="n">
        <v>0.004</v>
      </c>
      <c r="L38" s="99" t="n">
        <v>0.153</v>
      </c>
      <c r="M38" s="100" t="n">
        <v>0.5199</v>
      </c>
      <c r="N38" s="102" t="n"/>
    </row>
    <row r="39">
      <c r="B39" s="93" t="inlineStr">
        <is>
          <t>RV64IM_8SP</t>
        </is>
      </c>
      <c r="C39" s="99" t="n">
        <v>0.333</v>
      </c>
      <c r="D39" s="99" t="n">
        <v>0.18</v>
      </c>
      <c r="E39" s="99" t="n">
        <v>0.024</v>
      </c>
      <c r="F39" s="99" t="n">
        <v>0.001</v>
      </c>
      <c r="G39" s="99" t="n">
        <v>0</v>
      </c>
      <c r="H39" s="99" t="n">
        <v>0.045</v>
      </c>
      <c r="I39" s="99" t="n">
        <v>0</v>
      </c>
      <c r="J39" s="99" t="n">
        <v>0.11</v>
      </c>
      <c r="K39" s="99" t="n">
        <v>0</v>
      </c>
      <c r="L39" s="99" t="n">
        <v>0.153</v>
      </c>
      <c r="M39" s="100" t="n">
        <v>0.2374</v>
      </c>
      <c r="N39" s="102" t="inlineStr">
        <is>
          <t>Slice Logic;I/O</t>
        </is>
      </c>
    </row>
  </sheetData>
  <mergeCells count="1">
    <mergeCell ref="B3:M3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B2:M21"/>
  <sheetViews>
    <sheetView workbookViewId="0">
      <selection activeCell="A1" sqref="A1"/>
    </sheetView>
  </sheetViews>
  <sheetFormatPr baseColWidth="8" defaultRowHeight="15"/>
  <cols>
    <col width="3" customWidth="1" min="1" max="1"/>
    <col width="2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</cols>
  <sheetData>
    <row r="2">
      <c r="B2" s="91" t="inlineStr">
        <is>
          <t>Throughput, area and energy efficiency</t>
        </is>
      </c>
    </row>
    <row r="3" ht="42" customHeight="1">
      <c r="B3" s="104" t="inlineStr">
        <is>
          <t>CoreMark score is CoreMarks/MHz x the run frequency, NOT Fmax.  Area ratios use the core-only LUT count, which excludes memory and is comparable across variants; the SoC column is given for reference and is not.  Energy per iteration is total on-chip power (SAIF dynamic + static) divided by measured iterations per second.</t>
        </is>
      </c>
      <c r="C3" s="105" t="n"/>
      <c r="D3" s="105" t="n"/>
      <c r="E3" s="105" t="n"/>
      <c r="F3" s="105" t="n"/>
      <c r="G3" s="105" t="n"/>
      <c r="H3" s="105" t="n"/>
      <c r="I3" s="105" t="n"/>
      <c r="J3" s="105" t="n"/>
      <c r="K3" s="105" t="n"/>
      <c r="L3" s="106" t="n"/>
    </row>
    <row r="5">
      <c r="B5" s="91" t="inlineStr">
        <is>
          <t>variant</t>
        </is>
      </c>
      <c r="C5" s="92" t="inlineStr">
        <is>
          <t>run MHz</t>
        </is>
      </c>
      <c r="D5" s="92" t="inlineStr">
        <is>
          <t>CoreMark</t>
        </is>
      </c>
      <c r="E5" s="92" t="inlineStr">
        <is>
          <t>CM/MHz</t>
        </is>
      </c>
      <c r="F5" s="92" t="inlineStr">
        <is>
          <t>DMIPS/MHz</t>
        </is>
      </c>
      <c r="G5" s="92" t="inlineStr">
        <is>
          <t>CM/LUT core</t>
        </is>
      </c>
      <c r="H5" s="92" t="inlineStr">
        <is>
          <t>CM/LUT SoC</t>
        </is>
      </c>
      <c r="I5" s="92" t="inlineStr">
        <is>
          <t>DMIPS/LUT</t>
        </is>
      </c>
      <c r="J5" s="92" t="inlineStr">
        <is>
          <t>total W</t>
        </is>
      </c>
      <c r="K5" s="92" t="inlineStr">
        <is>
          <t>CM/W</t>
        </is>
      </c>
      <c r="L5" s="92" t="inlineStr">
        <is>
          <t>mJ/iter</t>
        </is>
      </c>
      <c r="M5" s="92" t="inlineStr">
        <is>
          <t>iters/s</t>
        </is>
      </c>
    </row>
    <row r="6">
      <c r="B6" s="93" t="inlineStr">
        <is>
          <t>RV32IM_5SP</t>
        </is>
      </c>
      <c r="C6" s="98" t="n">
        <v>43</v>
      </c>
      <c r="D6" s="111" t="n">
        <v>117</v>
      </c>
      <c r="E6" s="99" t="n">
        <v>2.721</v>
      </c>
      <c r="F6" s="99" t="n">
        <v>1.109</v>
      </c>
      <c r="G6" s="112" t="n">
        <v>0.03113</v>
      </c>
      <c r="H6" s="112" t="n">
        <v>0.008370000000000001</v>
      </c>
      <c r="I6" s="113" t="n">
        <v>0.012686</v>
      </c>
      <c r="J6" s="99" t="n">
        <v>0.372</v>
      </c>
      <c r="K6" s="111" t="n">
        <v>314.52</v>
      </c>
      <c r="L6" s="95" t="n">
        <v>3.179487</v>
      </c>
      <c r="M6" s="94" t="n">
        <v>117</v>
      </c>
    </row>
    <row r="7">
      <c r="B7" s="93" t="inlineStr">
        <is>
          <t>RV32IM_6SP</t>
        </is>
      </c>
      <c r="C7" s="98" t="n">
        <v>50</v>
      </c>
      <c r="D7" s="111" t="n">
        <v>125</v>
      </c>
      <c r="E7" s="99" t="n">
        <v>2.5</v>
      </c>
      <c r="F7" s="99" t="n">
        <v>1.072</v>
      </c>
      <c r="G7" s="112" t="n">
        <v>0.03284</v>
      </c>
      <c r="H7" s="112" t="n">
        <v>0.00882</v>
      </c>
      <c r="I7" s="113" t="n">
        <v>0.014083</v>
      </c>
      <c r="J7" s="99" t="n">
        <v>0.389</v>
      </c>
      <c r="K7" s="111" t="n">
        <v>321.34</v>
      </c>
      <c r="L7" s="95" t="n">
        <v>3.112</v>
      </c>
      <c r="M7" s="94" t="n">
        <v>125</v>
      </c>
    </row>
    <row r="8">
      <c r="B8" s="93" t="inlineStr">
        <is>
          <t>RV32IM_7SP</t>
        </is>
      </c>
      <c r="C8" s="98" t="n">
        <v>57.5</v>
      </c>
      <c r="D8" s="111" t="n">
        <v>117.01</v>
      </c>
      <c r="E8" s="99" t="n">
        <v>2.035</v>
      </c>
      <c r="F8" s="99" t="n">
        <v>0.866</v>
      </c>
      <c r="G8" s="112" t="n">
        <v>0.03714</v>
      </c>
      <c r="H8" s="112" t="n">
        <v>0.0112</v>
      </c>
      <c r="I8" s="113" t="n">
        <v>0.015803</v>
      </c>
      <c r="J8" s="99" t="n">
        <v>0.371</v>
      </c>
      <c r="K8" s="111" t="n">
        <v>315.4</v>
      </c>
      <c r="L8" s="95" t="n">
        <v>3.17094</v>
      </c>
      <c r="M8" s="94" t="n">
        <v>117</v>
      </c>
    </row>
    <row r="9">
      <c r="B9" s="93" t="inlineStr">
        <is>
          <t>RV32IM_7SP_BRAM</t>
        </is>
      </c>
      <c r="C9" s="98" t="n">
        <v>72</v>
      </c>
      <c r="D9" s="111" t="n">
        <v>141.98</v>
      </c>
      <c r="E9" s="99" t="n">
        <v>1.972</v>
      </c>
      <c r="F9" s="99" t="n">
        <v>0.786</v>
      </c>
      <c r="G9" s="112" t="n">
        <v>0.04454</v>
      </c>
      <c r="H9" s="112" t="n">
        <v>0.04541</v>
      </c>
      <c r="I9" s="113" t="n">
        <v>0.017752</v>
      </c>
      <c r="J9" s="99" t="n">
        <v>0.335</v>
      </c>
      <c r="K9" s="111" t="n">
        <v>423.83</v>
      </c>
      <c r="L9" s="95" t="n">
        <v>2.359155</v>
      </c>
      <c r="M9" s="94" t="n">
        <v>142</v>
      </c>
    </row>
    <row r="10">
      <c r="B10" s="93" t="inlineStr">
        <is>
          <t>RV32IM_7SP_BRAM_Opt</t>
        </is>
      </c>
      <c r="C10" s="98" t="n">
        <v>92</v>
      </c>
      <c r="D10" s="111" t="n">
        <v>176</v>
      </c>
      <c r="E10" s="99" t="n">
        <v>1.913</v>
      </c>
      <c r="F10" s="99" t="n">
        <v>0.763</v>
      </c>
      <c r="G10" s="112" t="n">
        <v>0.06684</v>
      </c>
      <c r="H10" s="112" t="n">
        <v>0.06473</v>
      </c>
      <c r="I10" s="113" t="n">
        <v>0.02666</v>
      </c>
      <c r="J10" s="99" t="n">
        <v>0.323</v>
      </c>
      <c r="K10" s="111" t="n">
        <v>544.88</v>
      </c>
      <c r="L10" s="95" t="n">
        <v>1.835227</v>
      </c>
      <c r="M10" s="94" t="n">
        <v>176</v>
      </c>
    </row>
    <row r="11">
      <c r="B11" s="93" t="inlineStr">
        <is>
          <t>RV32IM_8SP</t>
        </is>
      </c>
      <c r="C11" s="98" t="n">
        <v>122</v>
      </c>
      <c r="D11" s="111" t="n">
        <v>199.96</v>
      </c>
      <c r="E11" s="99" t="n">
        <v>1.639</v>
      </c>
      <c r="F11" s="99" t="n">
        <v>0.654</v>
      </c>
      <c r="G11" s="112" t="n">
        <v>0.06948</v>
      </c>
      <c r="H11" s="112" t="n">
        <v>0.0697</v>
      </c>
      <c r="I11" s="113" t="n">
        <v>0.027723</v>
      </c>
      <c r="J11" s="99" t="n">
        <v>0.34</v>
      </c>
      <c r="K11" s="111" t="n">
        <v>588.11</v>
      </c>
      <c r="L11" s="95" t="n">
        <v>1.7</v>
      </c>
      <c r="M11" s="94" t="n">
        <v>200</v>
      </c>
    </row>
    <row r="12">
      <c r="B12" s="93" t="inlineStr">
        <is>
          <t>RV32IM_8SP_withoutOpt</t>
        </is>
      </c>
      <c r="C12" s="98" t="n">
        <v>114</v>
      </c>
      <c r="D12" s="111" t="n">
        <v>165.98</v>
      </c>
      <c r="E12" s="99" t="n">
        <v>1.456</v>
      </c>
      <c r="F12" s="99" t="n">
        <v>0.671</v>
      </c>
      <c r="G12" s="112" t="n">
        <v>0.05123</v>
      </c>
      <c r="H12" s="112" t="n">
        <v>0.04982</v>
      </c>
      <c r="I12" s="113" t="n">
        <v>0.023609</v>
      </c>
      <c r="J12" s="99" t="n">
        <v>0.358</v>
      </c>
      <c r="K12" s="111" t="n">
        <v>463.64</v>
      </c>
      <c r="L12" s="95" t="n">
        <v>2.156627</v>
      </c>
      <c r="M12" s="94" t="n">
        <v>166</v>
      </c>
    </row>
    <row r="13">
      <c r="B13" s="93" t="inlineStr">
        <is>
          <t>RV32I_5SP</t>
        </is>
      </c>
      <c r="C13" s="98" t="n">
        <v>45</v>
      </c>
      <c r="D13" s="111" t="n">
        <v>49.99</v>
      </c>
      <c r="E13" s="99" t="n">
        <v>1.111</v>
      </c>
      <c r="F13" s="99" t="n">
        <v>1.105</v>
      </c>
      <c r="G13" s="112" t="n">
        <v>0.01868</v>
      </c>
      <c r="H13" s="112" t="n">
        <v>0.0037</v>
      </c>
      <c r="I13" s="113" t="n">
        <v>0.018582</v>
      </c>
      <c r="J13" s="99" t="n">
        <v>0.385</v>
      </c>
      <c r="K13" s="111" t="n">
        <v>129.86</v>
      </c>
      <c r="L13" s="95" t="n">
        <v>7.7</v>
      </c>
      <c r="M13" s="94" t="n">
        <v>50</v>
      </c>
    </row>
    <row r="14">
      <c r="B14" s="93" t="inlineStr">
        <is>
          <t>RV64IM_5SP</t>
        </is>
      </c>
      <c r="C14" s="98" t="n">
        <v>38</v>
      </c>
      <c r="D14" s="111" t="n">
        <v>91.01000000000001</v>
      </c>
      <c r="E14" s="99" t="n">
        <v>2.395</v>
      </c>
      <c r="F14" s="99" t="n">
        <v>1.15</v>
      </c>
      <c r="G14" s="112" t="n">
        <v>0.01098</v>
      </c>
      <c r="H14" s="112" t="n">
        <v>0.00344</v>
      </c>
      <c r="I14" s="113" t="n">
        <v>0.00527</v>
      </c>
      <c r="J14" s="99" t="n">
        <v>0.383</v>
      </c>
      <c r="K14" s="111" t="n">
        <v>237.62</v>
      </c>
      <c r="L14" s="95" t="n">
        <v>4.208791</v>
      </c>
      <c r="M14" s="94" t="n">
        <v>91</v>
      </c>
    </row>
    <row r="15">
      <c r="B15" s="93" t="inlineStr">
        <is>
          <t>RV64IM_6SP</t>
        </is>
      </c>
      <c r="C15" s="98" t="n">
        <v>45</v>
      </c>
      <c r="D15" s="111" t="n">
        <v>99.98999999999999</v>
      </c>
      <c r="E15" s="99" t="n">
        <v>2.222</v>
      </c>
      <c r="F15" s="99" t="n">
        <v>1.107</v>
      </c>
      <c r="G15" s="112" t="n">
        <v>0.01163</v>
      </c>
      <c r="H15" s="112" t="n">
        <v>0.00377</v>
      </c>
      <c r="I15" s="113" t="n">
        <v>0.005792</v>
      </c>
      <c r="J15" s="99" t="n">
        <v>0.396</v>
      </c>
      <c r="K15" s="111" t="n">
        <v>252.5</v>
      </c>
      <c r="L15" s="95" t="n">
        <v>3.96</v>
      </c>
      <c r="M15" s="94" t="n">
        <v>100</v>
      </c>
    </row>
    <row r="16">
      <c r="B16" s="93" t="inlineStr">
        <is>
          <t>RV64IM_7SP</t>
        </is>
      </c>
      <c r="C16" s="98" t="n">
        <v>47</v>
      </c>
      <c r="D16" s="111" t="n">
        <v>90.98999999999999</v>
      </c>
      <c r="E16" s="99" t="n">
        <v>1.936</v>
      </c>
      <c r="F16" s="99" t="n">
        <v>0.886</v>
      </c>
      <c r="G16" s="112" t="n">
        <v>0.01222</v>
      </c>
      <c r="H16" s="112" t="n">
        <v>0.00427</v>
      </c>
      <c r="I16" s="113" t="n">
        <v>0.005591</v>
      </c>
      <c r="J16" s="99" t="n">
        <v>0.402</v>
      </c>
      <c r="K16" s="111" t="n">
        <v>226.35</v>
      </c>
      <c r="L16" s="95" t="n">
        <v>4.417582</v>
      </c>
      <c r="M16" s="94" t="n">
        <v>91</v>
      </c>
    </row>
    <row r="17">
      <c r="B17" s="93" t="inlineStr">
        <is>
          <t>RV64IM_7SP_BRAM</t>
        </is>
      </c>
      <c r="C17" s="98" t="n">
        <v>58</v>
      </c>
      <c r="D17" s="111" t="n">
        <v>104.98</v>
      </c>
      <c r="E17" s="99" t="n">
        <v>1.81</v>
      </c>
      <c r="F17" s="99" t="n">
        <v>0.8080000000000001</v>
      </c>
      <c r="G17" s="112" t="n">
        <v>0.01396</v>
      </c>
      <c r="H17" s="112" t="n">
        <v>0.00848</v>
      </c>
      <c r="I17" s="113" t="n">
        <v>0.006232</v>
      </c>
      <c r="J17" s="99" t="n">
        <v>0.415</v>
      </c>
      <c r="K17" s="111" t="n">
        <v>252.96</v>
      </c>
      <c r="L17" s="95" t="n">
        <v>3.952381</v>
      </c>
      <c r="M17" s="94" t="n">
        <v>105</v>
      </c>
    </row>
    <row r="18">
      <c r="B18" s="93" t="inlineStr">
        <is>
          <t>RV64IM_7SP_BRAM_Opt</t>
        </is>
      </c>
      <c r="C18" s="98" t="n">
        <v>80.952381</v>
      </c>
      <c r="D18" s="111" t="n">
        <v>141.99</v>
      </c>
      <c r="E18" s="99" t="n">
        <v>1.754</v>
      </c>
      <c r="F18" s="99" t="n">
        <v>0.784</v>
      </c>
      <c r="G18" s="112" t="n">
        <v>0.02181</v>
      </c>
      <c r="H18" s="112" t="n">
        <v>0.01178</v>
      </c>
      <c r="I18" s="113" t="n">
        <v>0.009750999999999999</v>
      </c>
      <c r="J18" s="99" t="n">
        <v>0.498</v>
      </c>
      <c r="K18" s="111" t="n">
        <v>285.12</v>
      </c>
      <c r="L18" s="95" t="n">
        <v>3.507042</v>
      </c>
      <c r="M18" s="94" t="n">
        <v>142</v>
      </c>
    </row>
    <row r="19">
      <c r="B19" s="93" t="inlineStr">
        <is>
          <t>RV64IM_8SP</t>
        </is>
      </c>
      <c r="C19" s="98" t="n">
        <v>102</v>
      </c>
      <c r="D19" s="111" t="n">
        <v>153</v>
      </c>
      <c r="E19" s="99" t="n">
        <v>1.5</v>
      </c>
      <c r="F19" s="99" t="n">
        <v>0.669</v>
      </c>
      <c r="G19" s="112" t="n">
        <v>0.02192</v>
      </c>
      <c r="H19" s="112" t="n">
        <v>0.01208</v>
      </c>
      <c r="I19" s="113" t="n">
        <v>0.009775000000000001</v>
      </c>
      <c r="J19" s="99" t="n">
        <v>0.333</v>
      </c>
      <c r="K19" s="111" t="n">
        <v>459.46</v>
      </c>
      <c r="L19" s="95" t="n">
        <v>2.176471</v>
      </c>
      <c r="M19" s="94" t="n">
        <v>153</v>
      </c>
    </row>
    <row r="20">
      <c r="B20" s="93" t="inlineStr">
        <is>
          <t>RV64IM_8SP_withoutOpt</t>
        </is>
      </c>
      <c r="C20" s="98" t="n">
        <v>92</v>
      </c>
      <c r="D20" s="111" t="n">
        <v>141.96</v>
      </c>
      <c r="E20" s="99" t="n">
        <v>1.543</v>
      </c>
      <c r="F20" s="99" t="n">
        <v>0.6870000000000001</v>
      </c>
      <c r="G20" s="112" t="n">
        <v>0.01804</v>
      </c>
      <c r="H20" s="112" t="n">
        <v>0.01161</v>
      </c>
      <c r="I20" s="113" t="n">
        <v>0.008033</v>
      </c>
      <c r="J20" s="99" t="n">
        <v>0.42</v>
      </c>
      <c r="K20" s="111" t="n">
        <v>337.99</v>
      </c>
      <c r="L20" s="95" t="n">
        <v>2.957746</v>
      </c>
      <c r="M20" s="94" t="n">
        <v>142</v>
      </c>
    </row>
    <row r="21">
      <c r="B21" s="93" t="inlineStr">
        <is>
          <t>RV64I_5SP</t>
        </is>
      </c>
      <c r="C21" s="98" t="n">
        <v>37.5</v>
      </c>
      <c r="D21" s="111" t="n">
        <v>34.99</v>
      </c>
      <c r="E21" s="99" t="n">
        <v>0.9330000000000001</v>
      </c>
      <c r="F21" s="99" t="n">
        <v>1.145</v>
      </c>
      <c r="G21" s="112" t="n">
        <v>0.0062</v>
      </c>
      <c r="H21" s="112" t="n">
        <v>0.00142</v>
      </c>
      <c r="I21" s="113" t="n">
        <v>0.007606</v>
      </c>
      <c r="J21" s="99" t="n">
        <v>0.422</v>
      </c>
      <c r="K21" s="111" t="n">
        <v>82.91</v>
      </c>
      <c r="L21" s="95" t="n">
        <v>12.057143</v>
      </c>
      <c r="M21" s="94" t="n">
        <v>35</v>
      </c>
    </row>
  </sheetData>
  <mergeCells count="1">
    <mergeCell ref="B3:L3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B2:G37"/>
  <sheetViews>
    <sheetView workbookViewId="0">
      <selection activeCell="A1" sqref="A1"/>
    </sheetView>
  </sheetViews>
  <sheetFormatPr baseColWidth="8" defaultRowHeight="15"/>
  <cols>
    <col width="3" customWidth="1" min="1" max="1"/>
    <col width="24" customWidth="1" min="2" max="2"/>
    <col width="12" customWidth="1" min="3" max="3"/>
    <col width="14" customWidth="1" min="4" max="4"/>
    <col width="14" customWidth="1" min="5" max="5"/>
    <col width="14" customWidth="1" min="6" max="6"/>
    <col width="40" customWidth="1" min="7" max="7"/>
  </cols>
  <sheetData>
    <row r="2">
      <c r="B2" s="91" t="inlineStr">
        <is>
          <t>Clocking primitives per SoC build</t>
        </is>
      </c>
    </row>
    <row r="3" ht="28" customHeight="1">
      <c r="B3" s="104" t="inlineStr">
        <is>
          <t>Every build uses a PLLE2_ADV, not an MMCM: MMCME2_ADV is zero throughout.  Worth stating precisely, since the two are often used interchangeably in text.</t>
        </is>
      </c>
      <c r="C3" s="105" t="n"/>
      <c r="D3" s="105" t="n"/>
      <c r="E3" s="105" t="n"/>
      <c r="F3" s="105" t="n"/>
      <c r="G3" s="106" t="n"/>
    </row>
    <row r="5">
      <c r="B5" s="91" t="inlineStr">
        <is>
          <t>variant</t>
        </is>
      </c>
      <c r="C5" s="91" t="inlineStr">
        <is>
          <t>benchmark</t>
        </is>
      </c>
      <c r="D5" s="92" t="inlineStr">
        <is>
          <t>BUFGCTRL</t>
        </is>
      </c>
      <c r="E5" s="92" t="inlineStr">
        <is>
          <t>MMCME2_ADV</t>
        </is>
      </c>
      <c r="F5" s="92" t="inlineStr">
        <is>
          <t>PLLE2_ADV</t>
        </is>
      </c>
    </row>
    <row r="6">
      <c r="B6" s="93" t="inlineStr">
        <is>
          <t>RV32IM_5SP</t>
        </is>
      </c>
      <c r="C6" s="102" t="inlineStr">
        <is>
          <t>coremark</t>
        </is>
      </c>
      <c r="D6" s="97" t="n">
        <v>2</v>
      </c>
      <c r="E6" s="97" t="n">
        <v>0</v>
      </c>
      <c r="F6" s="97" t="n">
        <v>1</v>
      </c>
    </row>
    <row r="7">
      <c r="B7" s="93" t="inlineStr">
        <is>
          <t>RV32IM_5SP</t>
        </is>
      </c>
      <c r="C7" s="102" t="inlineStr">
        <is>
          <t>dhrystone</t>
        </is>
      </c>
      <c r="D7" s="97" t="n">
        <v>2</v>
      </c>
      <c r="E7" s="97" t="n">
        <v>0</v>
      </c>
      <c r="F7" s="97" t="n">
        <v>1</v>
      </c>
    </row>
    <row r="8">
      <c r="B8" s="93" t="inlineStr">
        <is>
          <t>RV32IM_6SP</t>
        </is>
      </c>
      <c r="C8" s="102" t="inlineStr">
        <is>
          <t>coremark</t>
        </is>
      </c>
      <c r="D8" s="97" t="n">
        <v>2</v>
      </c>
      <c r="E8" s="97" t="n">
        <v>0</v>
      </c>
      <c r="F8" s="97" t="n">
        <v>1</v>
      </c>
    </row>
    <row r="9">
      <c r="B9" s="93" t="inlineStr">
        <is>
          <t>RV32IM_6SP</t>
        </is>
      </c>
      <c r="C9" s="102" t="inlineStr">
        <is>
          <t>dhrystone</t>
        </is>
      </c>
      <c r="D9" s="97" t="n">
        <v>2</v>
      </c>
      <c r="E9" s="97" t="n">
        <v>0</v>
      </c>
      <c r="F9" s="97" t="n">
        <v>1</v>
      </c>
    </row>
    <row r="10">
      <c r="B10" s="93" t="inlineStr">
        <is>
          <t>RV32IM_7SP_BRAM_Opt</t>
        </is>
      </c>
      <c r="C10" s="102" t="inlineStr">
        <is>
          <t>coremark</t>
        </is>
      </c>
      <c r="D10" s="97" t="n">
        <v>2</v>
      </c>
      <c r="E10" s="97" t="n">
        <v>0</v>
      </c>
      <c r="F10" s="97" t="n">
        <v>1</v>
      </c>
    </row>
    <row r="11">
      <c r="B11" s="93" t="inlineStr">
        <is>
          <t>RV32IM_7SP_BRAM_Opt</t>
        </is>
      </c>
      <c r="C11" s="102" t="inlineStr">
        <is>
          <t>dhrystone</t>
        </is>
      </c>
      <c r="D11" s="97" t="n">
        <v>4</v>
      </c>
      <c r="E11" s="97" t="n">
        <v>0</v>
      </c>
      <c r="F11" s="97" t="n">
        <v>1</v>
      </c>
    </row>
    <row r="12">
      <c r="B12" s="93" t="inlineStr">
        <is>
          <t>RV32IM_7SP_BRAM</t>
        </is>
      </c>
      <c r="C12" s="102" t="inlineStr">
        <is>
          <t>coremark</t>
        </is>
      </c>
      <c r="D12" s="97" t="n">
        <v>2</v>
      </c>
      <c r="E12" s="97" t="n">
        <v>0</v>
      </c>
      <c r="F12" s="97" t="n">
        <v>1</v>
      </c>
    </row>
    <row r="13">
      <c r="B13" s="93" t="inlineStr">
        <is>
          <t>RV32IM_7SP_BRAM</t>
        </is>
      </c>
      <c r="C13" s="102" t="inlineStr">
        <is>
          <t>dhrystone</t>
        </is>
      </c>
      <c r="D13" s="97" t="n">
        <v>2</v>
      </c>
      <c r="E13" s="97" t="n">
        <v>0</v>
      </c>
      <c r="F13" s="97" t="n">
        <v>1</v>
      </c>
    </row>
    <row r="14">
      <c r="B14" s="93" t="inlineStr">
        <is>
          <t>RV32IM_7SP</t>
        </is>
      </c>
      <c r="C14" s="102" t="inlineStr">
        <is>
          <t>coremark</t>
        </is>
      </c>
      <c r="D14" s="97" t="n">
        <v>2</v>
      </c>
      <c r="E14" s="97" t="n">
        <v>0</v>
      </c>
      <c r="F14" s="97" t="n">
        <v>1</v>
      </c>
    </row>
    <row r="15">
      <c r="B15" s="93" t="inlineStr">
        <is>
          <t>RV32IM_7SP</t>
        </is>
      </c>
      <c r="C15" s="102" t="inlineStr">
        <is>
          <t>dhrystone</t>
        </is>
      </c>
      <c r="D15" s="97" t="n">
        <v>2</v>
      </c>
      <c r="E15" s="97" t="n">
        <v>0</v>
      </c>
      <c r="F15" s="97" t="n">
        <v>1</v>
      </c>
    </row>
    <row r="16">
      <c r="B16" s="93" t="inlineStr">
        <is>
          <t>RV32IM_8SP</t>
        </is>
      </c>
      <c r="C16" s="102" t="inlineStr">
        <is>
          <t>coremark</t>
        </is>
      </c>
      <c r="D16" s="97" t="n">
        <v>3</v>
      </c>
      <c r="E16" s="97" t="n">
        <v>0</v>
      </c>
      <c r="F16" s="97" t="n">
        <v>1</v>
      </c>
    </row>
    <row r="17">
      <c r="B17" s="93" t="inlineStr">
        <is>
          <t>RV32IM_8SP</t>
        </is>
      </c>
      <c r="C17" s="102" t="inlineStr">
        <is>
          <t>dhrystone</t>
        </is>
      </c>
      <c r="D17" s="97" t="n">
        <v>3</v>
      </c>
      <c r="E17" s="97" t="n">
        <v>0</v>
      </c>
      <c r="F17" s="97" t="n">
        <v>1</v>
      </c>
    </row>
    <row r="18">
      <c r="B18" s="93" t="inlineStr">
        <is>
          <t>RV32IM_8SP_withoutOpt</t>
        </is>
      </c>
      <c r="C18" s="102" t="inlineStr">
        <is>
          <t>coremark</t>
        </is>
      </c>
      <c r="D18" s="97" t="n">
        <v>2</v>
      </c>
      <c r="E18" s="97" t="n">
        <v>0</v>
      </c>
      <c r="F18" s="97" t="n">
        <v>1</v>
      </c>
    </row>
    <row r="19">
      <c r="B19" s="93" t="inlineStr">
        <is>
          <t>RV32IM_8SP_withoutOpt</t>
        </is>
      </c>
      <c r="C19" s="102" t="inlineStr">
        <is>
          <t>dhrystone</t>
        </is>
      </c>
      <c r="D19" s="97" t="n">
        <v>2</v>
      </c>
      <c r="E19" s="97" t="n">
        <v>0</v>
      </c>
      <c r="F19" s="97" t="n">
        <v>1</v>
      </c>
    </row>
    <row r="20">
      <c r="B20" s="93" t="inlineStr">
        <is>
          <t>RV32I_5SP</t>
        </is>
      </c>
      <c r="C20" s="102" t="inlineStr">
        <is>
          <t>coremark</t>
        </is>
      </c>
      <c r="D20" s="97" t="n">
        <v>2</v>
      </c>
      <c r="E20" s="97" t="n">
        <v>0</v>
      </c>
      <c r="F20" s="97" t="n">
        <v>1</v>
      </c>
    </row>
    <row r="21">
      <c r="B21" s="93" t="inlineStr">
        <is>
          <t>RV32I_5SP</t>
        </is>
      </c>
      <c r="C21" s="102" t="inlineStr">
        <is>
          <t>dhrystone</t>
        </is>
      </c>
      <c r="D21" s="97" t="n">
        <v>2</v>
      </c>
      <c r="E21" s="97" t="n">
        <v>0</v>
      </c>
      <c r="F21" s="97" t="n">
        <v>1</v>
      </c>
    </row>
    <row r="22">
      <c r="B22" s="93" t="inlineStr">
        <is>
          <t>RV64IM_5SP</t>
        </is>
      </c>
      <c r="C22" s="102" t="inlineStr">
        <is>
          <t>coremark</t>
        </is>
      </c>
      <c r="D22" s="97" t="n">
        <v>2</v>
      </c>
      <c r="E22" s="97" t="n">
        <v>0</v>
      </c>
      <c r="F22" s="97" t="n">
        <v>1</v>
      </c>
    </row>
    <row r="23">
      <c r="B23" s="93" t="inlineStr">
        <is>
          <t>RV64IM_5SP</t>
        </is>
      </c>
      <c r="C23" s="102" t="inlineStr">
        <is>
          <t>dhrystone</t>
        </is>
      </c>
      <c r="D23" s="97" t="n">
        <v>2</v>
      </c>
      <c r="E23" s="97" t="n">
        <v>0</v>
      </c>
      <c r="F23" s="97" t="n">
        <v>1</v>
      </c>
    </row>
    <row r="24">
      <c r="B24" s="93" t="inlineStr">
        <is>
          <t>RV64IM_6SP</t>
        </is>
      </c>
      <c r="C24" s="102" t="inlineStr">
        <is>
          <t>coremark</t>
        </is>
      </c>
      <c r="D24" s="97" t="n">
        <v>2</v>
      </c>
      <c r="E24" s="97" t="n">
        <v>0</v>
      </c>
      <c r="F24" s="97" t="n">
        <v>1</v>
      </c>
    </row>
    <row r="25">
      <c r="B25" s="93" t="inlineStr">
        <is>
          <t>RV64IM_6SP</t>
        </is>
      </c>
      <c r="C25" s="102" t="inlineStr">
        <is>
          <t>dhrystone</t>
        </is>
      </c>
      <c r="D25" s="97" t="n">
        <v>2</v>
      </c>
      <c r="E25" s="97" t="n">
        <v>0</v>
      </c>
      <c r="F25" s="97" t="n">
        <v>1</v>
      </c>
    </row>
    <row r="26">
      <c r="B26" s="93" t="inlineStr">
        <is>
          <t>RV64IM_7SP_BRAM_Opt</t>
        </is>
      </c>
      <c r="C26" s="102" t="inlineStr">
        <is>
          <t>coremark</t>
        </is>
      </c>
      <c r="D26" s="97" t="n">
        <v>4</v>
      </c>
      <c r="E26" s="97" t="n">
        <v>0</v>
      </c>
      <c r="F26" s="97" t="n">
        <v>1</v>
      </c>
    </row>
    <row r="27">
      <c r="B27" s="93" t="inlineStr">
        <is>
          <t>RV64IM_7SP_BRAM_Opt</t>
        </is>
      </c>
      <c r="C27" s="102" t="inlineStr">
        <is>
          <t>dhrystone</t>
        </is>
      </c>
      <c r="D27" s="97" t="n">
        <v>2</v>
      </c>
      <c r="E27" s="97" t="n">
        <v>0</v>
      </c>
      <c r="F27" s="97" t="n">
        <v>1</v>
      </c>
    </row>
    <row r="28">
      <c r="B28" s="93" t="inlineStr">
        <is>
          <t>RV64IM_7SP_BRAM</t>
        </is>
      </c>
      <c r="C28" s="102" t="inlineStr">
        <is>
          <t>coremark</t>
        </is>
      </c>
      <c r="D28" s="97" t="n">
        <v>2</v>
      </c>
      <c r="E28" s="97" t="n">
        <v>0</v>
      </c>
      <c r="F28" s="97" t="n">
        <v>1</v>
      </c>
    </row>
    <row r="29">
      <c r="B29" s="93" t="inlineStr">
        <is>
          <t>RV64IM_7SP_BRAM</t>
        </is>
      </c>
      <c r="C29" s="102" t="inlineStr">
        <is>
          <t>dhrystone</t>
        </is>
      </c>
      <c r="D29" s="97" t="n">
        <v>2</v>
      </c>
      <c r="E29" s="97" t="n">
        <v>0</v>
      </c>
      <c r="F29" s="97" t="n">
        <v>1</v>
      </c>
    </row>
    <row r="30">
      <c r="B30" s="93" t="inlineStr">
        <is>
          <t>RV64IM_7SP</t>
        </is>
      </c>
      <c r="C30" s="102" t="inlineStr">
        <is>
          <t>coremark</t>
        </is>
      </c>
      <c r="D30" s="97" t="n">
        <v>2</v>
      </c>
      <c r="E30" s="97" t="n">
        <v>0</v>
      </c>
      <c r="F30" s="97" t="n">
        <v>1</v>
      </c>
    </row>
    <row r="31">
      <c r="B31" s="93" t="inlineStr">
        <is>
          <t>RV64IM_7SP</t>
        </is>
      </c>
      <c r="C31" s="102" t="inlineStr">
        <is>
          <t>dhrystone</t>
        </is>
      </c>
      <c r="D31" s="97" t="n">
        <v>2</v>
      </c>
      <c r="E31" s="97" t="n">
        <v>0</v>
      </c>
      <c r="F31" s="97" t="n">
        <v>1</v>
      </c>
    </row>
    <row r="32">
      <c r="B32" s="93" t="inlineStr">
        <is>
          <t>RV64IM_8SP</t>
        </is>
      </c>
      <c r="C32" s="102" t="inlineStr">
        <is>
          <t>coremark</t>
        </is>
      </c>
      <c r="D32" s="97" t="n">
        <v>2</v>
      </c>
      <c r="E32" s="97" t="n">
        <v>0</v>
      </c>
      <c r="F32" s="97" t="n">
        <v>1</v>
      </c>
    </row>
    <row r="33">
      <c r="B33" s="93" t="inlineStr">
        <is>
          <t>RV64IM_8SP</t>
        </is>
      </c>
      <c r="C33" s="102" t="inlineStr">
        <is>
          <t>dhrystone</t>
        </is>
      </c>
      <c r="D33" s="97" t="n">
        <v>2</v>
      </c>
      <c r="E33" s="97" t="n">
        <v>0</v>
      </c>
      <c r="F33" s="97" t="n">
        <v>1</v>
      </c>
    </row>
    <row r="34">
      <c r="B34" s="93" t="inlineStr">
        <is>
          <t>RV64IM_8SP_withoutOpt</t>
        </is>
      </c>
      <c r="C34" s="102" t="inlineStr">
        <is>
          <t>coremark</t>
        </is>
      </c>
      <c r="D34" s="97" t="n">
        <v>2</v>
      </c>
      <c r="E34" s="97" t="n">
        <v>0</v>
      </c>
      <c r="F34" s="97" t="n">
        <v>1</v>
      </c>
    </row>
    <row r="35">
      <c r="B35" s="93" t="inlineStr">
        <is>
          <t>RV64IM_8SP_withoutOpt</t>
        </is>
      </c>
      <c r="C35" s="102" t="inlineStr">
        <is>
          <t>dhrystone</t>
        </is>
      </c>
      <c r="D35" s="97" t="n">
        <v>2</v>
      </c>
      <c r="E35" s="97" t="n">
        <v>0</v>
      </c>
      <c r="F35" s="97" t="n">
        <v>1</v>
      </c>
    </row>
    <row r="36">
      <c r="B36" s="93" t="inlineStr">
        <is>
          <t>RV64I_5SP</t>
        </is>
      </c>
      <c r="C36" s="102" t="inlineStr">
        <is>
          <t>coremark</t>
        </is>
      </c>
      <c r="D36" s="97" t="n">
        <v>2</v>
      </c>
      <c r="E36" s="97" t="n">
        <v>0</v>
      </c>
      <c r="F36" s="97" t="n">
        <v>1</v>
      </c>
    </row>
    <row r="37">
      <c r="B37" s="93" t="inlineStr">
        <is>
          <t>RV64I_5SP</t>
        </is>
      </c>
      <c r="C37" s="102" t="inlineStr">
        <is>
          <t>dhrystone</t>
        </is>
      </c>
      <c r="D37" s="97" t="n">
        <v>2</v>
      </c>
      <c r="E37" s="97" t="n">
        <v>0</v>
      </c>
      <c r="F37" s="97" t="n">
        <v>1</v>
      </c>
    </row>
  </sheetData>
  <mergeCells count="1">
    <mergeCell ref="B3:G3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B2:G37"/>
  <sheetViews>
    <sheetView workbookViewId="0">
      <selection activeCell="A1" sqref="A1"/>
    </sheetView>
  </sheetViews>
  <sheetFormatPr baseColWidth="8" defaultRowHeight="15"/>
  <cols>
    <col width="3" customWidth="1" min="1" max="1"/>
    <col width="24" customWidth="1" min="2" max="2"/>
    <col width="10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40" customWidth="1" min="9" max="9"/>
  </cols>
  <sheetData>
    <row r="2">
      <c r="B2" s="91" t="inlineStr">
        <is>
          <t>Functional verification evidence</t>
        </is>
      </c>
    </row>
    <row r="4">
      <c r="B4" s="91" t="inlineStr">
        <is>
          <t>variant</t>
        </is>
      </c>
      <c r="C4" s="92" t="inlineStr">
        <is>
          <t>RISCOF</t>
        </is>
      </c>
      <c r="D4" s="92" t="inlineStr">
        <is>
          <t>riscv-tests</t>
        </is>
      </c>
      <c r="E4" s="92" t="inlineStr">
        <is>
          <t>Embench sim</t>
        </is>
      </c>
      <c r="F4" s="92" t="inlineStr">
        <is>
          <t>randomized (AAPG)</t>
        </is>
      </c>
      <c r="G4" s="91" t="inlineStr">
        <is>
          <t>note</t>
        </is>
      </c>
    </row>
    <row r="5">
      <c r="B5" s="93" t="inlineStr">
        <is>
          <t>RV32I_5SP</t>
        </is>
      </c>
      <c r="C5" s="96" t="inlineStr">
        <is>
          <t>38/38</t>
        </is>
      </c>
      <c r="D5" s="110" t="inlineStr">
        <is>
          <t>40/41</t>
        </is>
      </c>
      <c r="E5" s="110" t="inlineStr">
        <is>
          <t>18/19</t>
        </is>
      </c>
      <c r="F5" s="110" t="inlineStr">
        <is>
          <t>7/20</t>
        </is>
      </c>
      <c r="G5" s="102" t="inlineStr">
        <is>
          <t>13 mismatch</t>
        </is>
      </c>
    </row>
    <row r="6">
      <c r="B6" s="93" t="inlineStr">
        <is>
          <t>RV32IM_5SP</t>
        </is>
      </c>
      <c r="C6" s="96" t="inlineStr">
        <is>
          <t>46/46</t>
        </is>
      </c>
      <c r="D6" s="110" t="inlineStr">
        <is>
          <t>48/49</t>
        </is>
      </c>
      <c r="E6" s="110" t="inlineStr">
        <is>
          <t>18/19</t>
        </is>
      </c>
      <c r="F6" s="110" t="inlineStr">
        <is>
          <t>7/20</t>
        </is>
      </c>
      <c r="G6" s="102" t="inlineStr">
        <is>
          <t>13 mismatch</t>
        </is>
      </c>
    </row>
    <row r="7">
      <c r="B7" s="93" t="inlineStr">
        <is>
          <t>RV32IM_6SP</t>
        </is>
      </c>
      <c r="C7" s="96" t="inlineStr">
        <is>
          <t>46/46</t>
        </is>
      </c>
      <c r="D7" s="110" t="inlineStr">
        <is>
          <t>48/49</t>
        </is>
      </c>
      <c r="E7" s="110" t="inlineStr">
        <is>
          <t>18/19</t>
        </is>
      </c>
      <c r="F7" s="110" t="inlineStr">
        <is>
          <t>7/20</t>
        </is>
      </c>
      <c r="G7" s="102" t="inlineStr">
        <is>
          <t>13 mismatch</t>
        </is>
      </c>
    </row>
    <row r="8">
      <c r="B8" s="93" t="inlineStr">
        <is>
          <t>RV32IM_7SP</t>
        </is>
      </c>
      <c r="C8" s="96" t="inlineStr">
        <is>
          <t>46/46</t>
        </is>
      </c>
      <c r="D8" s="110" t="inlineStr">
        <is>
          <t>48/49</t>
        </is>
      </c>
      <c r="E8" s="110" t="inlineStr">
        <is>
          <t>18/19</t>
        </is>
      </c>
      <c r="F8" s="110" t="inlineStr">
        <is>
          <t>3/20</t>
        </is>
      </c>
      <c r="G8" s="102" t="inlineStr">
        <is>
          <t>15 timeout; 2 mismatch</t>
        </is>
      </c>
    </row>
    <row r="9">
      <c r="B9" s="93" t="inlineStr">
        <is>
          <t>RV32IM_7SP_BRAM</t>
        </is>
      </c>
      <c r="C9" s="96" t="inlineStr">
        <is>
          <t>46/46</t>
        </is>
      </c>
      <c r="D9" s="110" t="inlineStr">
        <is>
          <t>48/49</t>
        </is>
      </c>
      <c r="E9" s="110" t="inlineStr">
        <is>
          <t>18/19</t>
        </is>
      </c>
      <c r="F9" s="110" t="inlineStr">
        <is>
          <t>2/20</t>
        </is>
      </c>
      <c r="G9" s="102" t="inlineStr">
        <is>
          <t>16 timeout; 2 mismatch</t>
        </is>
      </c>
    </row>
    <row r="10">
      <c r="B10" s="93" t="inlineStr">
        <is>
          <t>RV32IM_7SP_BRAM_Opt</t>
        </is>
      </c>
      <c r="C10" s="96" t="inlineStr">
        <is>
          <t>46/46</t>
        </is>
      </c>
      <c r="D10" s="110" t="inlineStr">
        <is>
          <t>48/49</t>
        </is>
      </c>
      <c r="E10" s="110" t="inlineStr">
        <is>
          <t>18/19</t>
        </is>
      </c>
      <c r="F10" s="110" t="inlineStr">
        <is>
          <t>2/20</t>
        </is>
      </c>
      <c r="G10" s="102" t="inlineStr">
        <is>
          <t>16 timeout; 2 mismatch</t>
        </is>
      </c>
    </row>
    <row r="11">
      <c r="B11" s="93" t="inlineStr">
        <is>
          <t>RV32IM_8SP_withoutOpt</t>
        </is>
      </c>
      <c r="C11" s="96" t="inlineStr">
        <is>
          <t>46/46</t>
        </is>
      </c>
      <c r="D11" s="110" t="inlineStr">
        <is>
          <t>48/49</t>
        </is>
      </c>
      <c r="E11" s="110" t="inlineStr">
        <is>
          <t>18/19</t>
        </is>
      </c>
      <c r="F11" s="110" t="inlineStr">
        <is>
          <t>2/20</t>
        </is>
      </c>
      <c r="G11" s="102" t="inlineStr">
        <is>
          <t>16 timeout; 2 mismatch</t>
        </is>
      </c>
    </row>
    <row r="12">
      <c r="B12" s="93" t="inlineStr">
        <is>
          <t>RV32IM_8SP</t>
        </is>
      </c>
      <c r="C12" s="96" t="inlineStr">
        <is>
          <t>46/46</t>
        </is>
      </c>
      <c r="D12" s="110" t="inlineStr">
        <is>
          <t>48/49</t>
        </is>
      </c>
      <c r="E12" s="110" t="inlineStr">
        <is>
          <t>18/19</t>
        </is>
      </c>
      <c r="F12" s="110" t="inlineStr">
        <is>
          <t>2/20</t>
        </is>
      </c>
      <c r="G12" s="102" t="inlineStr">
        <is>
          <t>16 timeout; 2 mismatch</t>
        </is>
      </c>
    </row>
    <row r="13">
      <c r="B13" s="93" t="inlineStr">
        <is>
          <t>RV64I_5SP</t>
        </is>
      </c>
      <c r="C13" s="96" t="inlineStr">
        <is>
          <t>50/50</t>
        </is>
      </c>
      <c r="D13" s="110" t="inlineStr">
        <is>
          <t>52/53</t>
        </is>
      </c>
      <c r="E13" s="110" t="inlineStr">
        <is>
          <t>16/19</t>
        </is>
      </c>
      <c r="F13" s="110" t="inlineStr">
        <is>
          <t>14/20</t>
        </is>
      </c>
      <c r="G13" s="102" t="inlineStr">
        <is>
          <t>6 mismatch</t>
        </is>
      </c>
    </row>
    <row r="14">
      <c r="B14" s="93" t="inlineStr">
        <is>
          <t>RV64IM_5SP</t>
        </is>
      </c>
      <c r="C14" s="96" t="inlineStr">
        <is>
          <t>63/63</t>
        </is>
      </c>
      <c r="D14" s="110" t="inlineStr">
        <is>
          <t>65/66</t>
        </is>
      </c>
      <c r="E14" s="110" t="inlineStr">
        <is>
          <t>16/19</t>
        </is>
      </c>
      <c r="F14" s="110" t="inlineStr">
        <is>
          <t>19/20</t>
        </is>
      </c>
      <c r="G14" s="102" t="inlineStr">
        <is>
          <t>1 mismatch</t>
        </is>
      </c>
    </row>
    <row r="15">
      <c r="B15" s="93" t="inlineStr">
        <is>
          <t>RV64IM_6SP</t>
        </is>
      </c>
      <c r="C15" s="96" t="inlineStr">
        <is>
          <t>63/63</t>
        </is>
      </c>
      <c r="D15" s="110" t="inlineStr">
        <is>
          <t>65/66</t>
        </is>
      </c>
      <c r="E15" s="110" t="inlineStr">
        <is>
          <t>16/19</t>
        </is>
      </c>
      <c r="F15" s="110" t="inlineStr">
        <is>
          <t>19/20</t>
        </is>
      </c>
      <c r="G15" s="102" t="inlineStr">
        <is>
          <t>1 mismatch</t>
        </is>
      </c>
    </row>
    <row r="16">
      <c r="B16" s="93" t="inlineStr">
        <is>
          <t>RV64IM_7SP</t>
        </is>
      </c>
      <c r="C16" s="96" t="inlineStr">
        <is>
          <t>63/63</t>
        </is>
      </c>
      <c r="D16" s="110" t="inlineStr">
        <is>
          <t>65/66</t>
        </is>
      </c>
      <c r="E16" s="110" t="inlineStr">
        <is>
          <t>16/19</t>
        </is>
      </c>
      <c r="F16" s="110" t="inlineStr">
        <is>
          <t>10/20</t>
        </is>
      </c>
      <c r="G16" s="102" t="inlineStr">
        <is>
          <t>10 timeout</t>
        </is>
      </c>
    </row>
    <row r="17">
      <c r="B17" s="93" t="inlineStr">
        <is>
          <t>RV64IM_7SP_BRAM</t>
        </is>
      </c>
      <c r="C17" s="96" t="inlineStr">
        <is>
          <t>63/63</t>
        </is>
      </c>
      <c r="D17" s="110" t="inlineStr">
        <is>
          <t>65/66</t>
        </is>
      </c>
      <c r="E17" s="110" t="inlineStr">
        <is>
          <t>16/19</t>
        </is>
      </c>
      <c r="F17" s="110" t="inlineStr">
        <is>
          <t>10/20</t>
        </is>
      </c>
      <c r="G17" s="102" t="inlineStr">
        <is>
          <t>10 timeout</t>
        </is>
      </c>
    </row>
    <row r="18">
      <c r="B18" s="93" t="inlineStr">
        <is>
          <t>RV64IM_7SP_BRAM_Opt</t>
        </is>
      </c>
      <c r="C18" s="96" t="inlineStr">
        <is>
          <t>63/63</t>
        </is>
      </c>
      <c r="D18" s="110" t="inlineStr">
        <is>
          <t>65/66</t>
        </is>
      </c>
      <c r="E18" s="110" t="inlineStr">
        <is>
          <t>16/19</t>
        </is>
      </c>
      <c r="F18" s="110" t="inlineStr">
        <is>
          <t>10/20</t>
        </is>
      </c>
      <c r="G18" s="102" t="inlineStr">
        <is>
          <t>10 timeout</t>
        </is>
      </c>
    </row>
    <row r="19">
      <c r="B19" s="93" t="inlineStr">
        <is>
          <t>RV64IM_8SP_withoutOpt</t>
        </is>
      </c>
      <c r="C19" s="96" t="inlineStr">
        <is>
          <t>63/63</t>
        </is>
      </c>
      <c r="D19" s="110" t="inlineStr">
        <is>
          <t>65/66</t>
        </is>
      </c>
      <c r="E19" s="110" t="inlineStr">
        <is>
          <t>16/19</t>
        </is>
      </c>
      <c r="F19" s="110" t="inlineStr">
        <is>
          <t>11/20</t>
        </is>
      </c>
      <c r="G19" s="102" t="inlineStr">
        <is>
          <t>9 timeout</t>
        </is>
      </c>
    </row>
    <row r="20">
      <c r="B20" s="93" t="inlineStr">
        <is>
          <t>RV64IM_8SP</t>
        </is>
      </c>
      <c r="C20" s="96" t="inlineStr">
        <is>
          <t>63/63</t>
        </is>
      </c>
      <c r="D20" s="110" t="inlineStr">
        <is>
          <t>65/66</t>
        </is>
      </c>
      <c r="E20" s="110" t="inlineStr">
        <is>
          <t>16/19</t>
        </is>
      </c>
      <c r="F20" s="110" t="inlineStr">
        <is>
          <t>11/20</t>
        </is>
      </c>
      <c r="G20" s="102" t="inlineStr">
        <is>
          <t>9 timeout</t>
        </is>
      </c>
    </row>
    <row r="22">
      <c r="B22" s="102" t="inlineStr">
        <is>
          <t>riscv-tests shortfalls are ma_data only, which is optional in RISC-V.</t>
        </is>
      </c>
    </row>
    <row r="23">
      <c r="B23" s="102" t="inlineStr">
        <is>
          <t>Embench 'no result' rows hit the simulation cycle limit, not a functional failure.</t>
        </is>
      </c>
    </row>
    <row r="24">
      <c r="B24" s="102" t="inlineStr">
        <is>
          <t>Randomized testing has two distinct failure modes, and they do not mean the same thing:</t>
        </is>
      </c>
    </row>
    <row r="25">
      <c r="B25" s="102" t="inlineStr">
        <is>
          <t xml:space="preserve">  MISMATCH is dominated by a co-simulation artifact.  The DUT runs from ROM at 0x00000000 and the</t>
        </is>
      </c>
    </row>
    <row r="26">
      <c r="B26" s="102" t="inlineStr">
        <is>
          <t xml:space="preserve">  Sail reference from 0x80000000, so signature words holding address fragments differ by construction.</t>
        </is>
      </c>
    </row>
    <row r="27">
      <c r="B27" s="102" t="inlineStr">
        <is>
          <t xml:space="preserve">  The harness excludes words it can prove are link-address dependent by re-running Sail at shifted</t>
        </is>
      </c>
    </row>
    <row r="28">
      <c r="B28" s="102" t="inlineStr">
        <is>
          <t xml:space="preserve">  bases; after widening that probe, matches rose from 49 to 136 of 320 and 37 of the 57 remaining</t>
        </is>
      </c>
    </row>
    <row r="29">
      <c r="B29" s="102" t="inlineStr">
        <is>
          <t xml:space="preserve">  mismatches differ by a single word in 4096.  On RV32 the effect is far stronger because 0x80000000</t>
        </is>
      </c>
    </row>
    <row r="30">
      <c r="B30" s="102" t="inlineStr">
        <is>
          <t xml:space="preserve">  is negative as a signed 32-bit value, which is why RV64IM reaches 19/20 and RV32 reaches 7/20.</t>
        </is>
      </c>
    </row>
    <row r="31">
      <c r="B31" s="102" t="inlineStr">
        <is>
          <t xml:space="preserve">  TIMEOUT is a real divergence and is NOT an artifact.  It appears only on the 7- and 8-stage</t>
        </is>
      </c>
    </row>
    <row r="32">
      <c r="B32" s="102" t="inlineStr">
        <is>
          <t xml:space="preserve">  variants, at both widths.  rv32im_s004 completes on RV32IM_5SP in 83,767 cycles and does not</t>
        </is>
      </c>
    </row>
    <row r="33">
      <c r="B33" s="102" t="inlineStr">
        <is>
          <t xml:space="preserve">  terminate on RV32IM_7SP within 20,000,000: the branch guarding the loop exit is not taken, and</t>
        </is>
      </c>
    </row>
    <row r="34">
      <c r="B34" s="102" t="inlineStr">
        <is>
          <t xml:space="preserve">  nothing in the loop body writes the register it tests.  Not reached by RISCOF, riscv-tests,</t>
        </is>
      </c>
    </row>
    <row r="35">
      <c r="B35" s="102" t="inlineStr">
        <is>
          <t xml:space="preserve">  any Embench benchmark, or either FPGA benchmark.  Under investigation; affects no reported result.</t>
        </is>
      </c>
    </row>
    <row r="36">
      <c r="B36" s="102" t="inlineStr">
        <is>
          <t>Randomized testing found two defects during development that are now fixed: a 7SP_BRAM branch bug</t>
        </is>
      </c>
    </row>
    <row r="37">
      <c r="B37" s="102" t="inlineStr">
        <is>
          <t>and an 8SP divw bug, both reproducible from aapg-env/repro/.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2026-09-21T01:47:46Z</dcterms:created>
  <dcterms:modified xsi:type="dcterms:W3CDTF">2026-09-21T01:47:46Z</dcterms:modified>
</cp:coreProperties>
</file>